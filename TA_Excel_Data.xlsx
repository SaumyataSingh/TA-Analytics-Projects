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CHAT GPT Projects and Interview Prep\"/>
    </mc:Choice>
  </mc:AlternateContent>
  <xr:revisionPtr revIDLastSave="0" documentId="13_ncr:1_{470E93C1-82C2-47BF-835E-256DB61E29B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A_Data" sheetId="1" r:id="rId1"/>
    <sheet name="Pivot_Analysis" sheetId="2" r:id="rId2"/>
    <sheet name="Sheet4" sheetId="5" r:id="rId3"/>
    <sheet name="TA_Dashboard" sheetId="3" r:id="rId4"/>
    <sheet name="Charts" sheetId="4" r:id="rId5"/>
  </sheets>
  <calcPr calcId="191029"/>
  <pivotCaches>
    <pivotCache cacheId="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" l="1"/>
  <c r="B4" i="3"/>
  <c r="L3" i="1"/>
  <c r="B3" i="3"/>
  <c r="L6" i="1"/>
  <c r="L5" i="1"/>
  <c r="L4" i="1"/>
  <c r="L2" i="1"/>
</calcChain>
</file>

<file path=xl/sharedStrings.xml><?xml version="1.0" encoding="utf-8"?>
<sst xmlns="http://schemas.openxmlformats.org/spreadsheetml/2006/main" count="192" uniqueCount="86">
  <si>
    <t>Req_ID</t>
  </si>
  <si>
    <t>Role</t>
  </si>
  <si>
    <t>Recruiter</t>
  </si>
  <si>
    <t>Source</t>
  </si>
  <si>
    <t>CV_Received</t>
  </si>
  <si>
    <t>Screened</t>
  </si>
  <si>
    <t>Interviewed</t>
  </si>
  <si>
    <t>Offered</t>
  </si>
  <si>
    <t>Offer_Accepted</t>
  </si>
  <si>
    <t>Days_to_Hire</t>
  </si>
  <si>
    <t>REQ001</t>
  </si>
  <si>
    <t>Data Analyst</t>
  </si>
  <si>
    <t>Amit</t>
  </si>
  <si>
    <t>LinkedIn</t>
  </si>
  <si>
    <t>Yes</t>
  </si>
  <si>
    <t>REQ002</t>
  </si>
  <si>
    <t>Java Developer</t>
  </si>
  <si>
    <t>Neha</t>
  </si>
  <si>
    <t>Naukri</t>
  </si>
  <si>
    <t>No</t>
  </si>
  <si>
    <t>REQ003</t>
  </si>
  <si>
    <t>QA Engineer</t>
  </si>
  <si>
    <t>Rohit</t>
  </si>
  <si>
    <t>Referral</t>
  </si>
  <si>
    <t>REQ004</t>
  </si>
  <si>
    <t>HR Analyst</t>
  </si>
  <si>
    <t>REQ005</t>
  </si>
  <si>
    <t>Python Developer</t>
  </si>
  <si>
    <t>REQ006</t>
  </si>
  <si>
    <t>UI Developer</t>
  </si>
  <si>
    <t>REQ007</t>
  </si>
  <si>
    <t>BA</t>
  </si>
  <si>
    <t>REQ008</t>
  </si>
  <si>
    <t>DevOps Engineer</t>
  </si>
  <si>
    <t>REQ009</t>
  </si>
  <si>
    <t>Tester</t>
  </si>
  <si>
    <t>REQ010</t>
  </si>
  <si>
    <t>Product Analyst</t>
  </si>
  <si>
    <t>REQ011</t>
  </si>
  <si>
    <t>Backend Developer</t>
  </si>
  <si>
    <t>REQ012</t>
  </si>
  <si>
    <t>Frontend Developer</t>
  </si>
  <si>
    <t>REQ013</t>
  </si>
  <si>
    <t>Scrum Master</t>
  </si>
  <si>
    <t>REQ014</t>
  </si>
  <si>
    <t>Cloud Engineer</t>
  </si>
  <si>
    <t>REQ015</t>
  </si>
  <si>
    <t>Support Analyst</t>
  </si>
  <si>
    <t>REQ016</t>
  </si>
  <si>
    <t>Data Engineer</t>
  </si>
  <si>
    <t>REQ017</t>
  </si>
  <si>
    <t>ML Engineer</t>
  </si>
  <si>
    <t>REQ018</t>
  </si>
  <si>
    <t>Automation Tester</t>
  </si>
  <si>
    <t>REQ019</t>
  </si>
  <si>
    <t>HRBP</t>
  </si>
  <si>
    <t>REQ020</t>
  </si>
  <si>
    <t>Tech Lead</t>
  </si>
  <si>
    <t>REQ021</t>
  </si>
  <si>
    <t>Business Analyst</t>
  </si>
  <si>
    <t>REQ022</t>
  </si>
  <si>
    <t>Full Stack Dev</t>
  </si>
  <si>
    <t>REQ023</t>
  </si>
  <si>
    <t>Security Analyst</t>
  </si>
  <si>
    <t>REQ024</t>
  </si>
  <si>
    <t>UX Designer</t>
  </si>
  <si>
    <t>REQ025</t>
  </si>
  <si>
    <t>Mobile App Dev</t>
  </si>
  <si>
    <t>Total Requisitions</t>
  </si>
  <si>
    <t>Offers Accepted</t>
  </si>
  <si>
    <t>Total Offers Made</t>
  </si>
  <si>
    <t>Offer Acceptance Rate</t>
  </si>
  <si>
    <t>Avg Time to Hire (Days)</t>
  </si>
  <si>
    <t>Row Labels</t>
  </si>
  <si>
    <t>Grand Total</t>
  </si>
  <si>
    <t>Count of Req_ID</t>
  </si>
  <si>
    <t>Average of Days_to_Hire</t>
  </si>
  <si>
    <t>Count of Offer_Accepted</t>
  </si>
  <si>
    <t>Sum of CV_Received</t>
  </si>
  <si>
    <t>Sum of Interviewed</t>
  </si>
  <si>
    <t>Sum of Offered</t>
  </si>
  <si>
    <t>Talent Acquisition Dashboard</t>
  </si>
  <si>
    <t>Avg Time to Hire</t>
  </si>
  <si>
    <t>Recruiter Performance</t>
  </si>
  <si>
    <t>Source Effectiveness</t>
  </si>
  <si>
    <t>Funnel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</si>
</sst>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3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1"/>
      <color theme="3"/>
      <name val="Cambria"/>
      <family val="1"/>
      <scheme val="major"/>
    </font>
    <font>
      <b/>
      <sz val="14"/>
      <color theme="3"/>
      <name val="Cambria"/>
      <family val="1"/>
      <scheme val="major"/>
    </font>
    <font>
      <b/>
      <sz val="11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9" fontId="3" fillId="0" borderId="0" xfId="1" applyFont="1"/>
    <xf numFmtId="2" fontId="3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2" applyFont="1"/>
    <xf numFmtId="0" fontId="6" fillId="0" borderId="0" xfId="0" applyFont="1"/>
    <xf numFmtId="0" fontId="5" fillId="0" borderId="0" xfId="2" applyFont="1" applyAlignment="1">
      <alignment horizontal="center"/>
    </xf>
    <xf numFmtId="2" fontId="3" fillId="0" borderId="0" xfId="0" applyNumberFormat="1" applyFont="1"/>
    <xf numFmtId="0" fontId="7" fillId="0" borderId="0" xfId="2" applyFont="1"/>
    <xf numFmtId="0" fontId="1" fillId="0" borderId="0" xfId="0" applyFont="1"/>
    <xf numFmtId="0" fontId="8" fillId="0" borderId="1" xfId="2" applyFont="1" applyBorder="1" applyAlignment="1">
      <alignment horizontal="center" vertical="center" wrapText="1"/>
    </xf>
    <xf numFmtId="0" fontId="9" fillId="0" borderId="0" xfId="2" applyFont="1"/>
  </cellXfs>
  <cellStyles count="3">
    <cellStyle name="Normal" xfId="0" builtinId="0"/>
    <cellStyle name="Percent" xfId="1" builtinId="5"/>
    <cellStyle name="Title" xfId="2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[TA_Excel_Data.xlsx]Pivot_Analysis!PivotTable4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Pivot_Analysis!$B$21</c:f>
              <c:strCache>
                <c:ptCount val="1"/>
                <c:pt idx="0">
                  <c:v>Sum of CV_Received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Pivot_Analysis!$A$22:$A$47</c:f>
              <c:strCache>
                <c:ptCount val="25"/>
                <c:pt idx="0">
                  <c:v>Automation Tester</c:v>
                </c:pt>
                <c:pt idx="1">
                  <c:v>BA</c:v>
                </c:pt>
                <c:pt idx="2">
                  <c:v>Backend Developer</c:v>
                </c:pt>
                <c:pt idx="3">
                  <c:v>Business Analyst</c:v>
                </c:pt>
                <c:pt idx="4">
                  <c:v>Cloud Engineer</c:v>
                </c:pt>
                <c:pt idx="5">
                  <c:v>Data Analyst</c:v>
                </c:pt>
                <c:pt idx="6">
                  <c:v>Data Engineer</c:v>
                </c:pt>
                <c:pt idx="7">
                  <c:v>DevOps Engineer</c:v>
                </c:pt>
                <c:pt idx="8">
                  <c:v>Frontend Developer</c:v>
                </c:pt>
                <c:pt idx="9">
                  <c:v>Full Stack Dev</c:v>
                </c:pt>
                <c:pt idx="10">
                  <c:v>HR Analyst</c:v>
                </c:pt>
                <c:pt idx="11">
                  <c:v>HRBP</c:v>
                </c:pt>
                <c:pt idx="12">
                  <c:v>Java Developer</c:v>
                </c:pt>
                <c:pt idx="13">
                  <c:v>ML Engineer</c:v>
                </c:pt>
                <c:pt idx="14">
                  <c:v>Mobile App Dev</c:v>
                </c:pt>
                <c:pt idx="15">
                  <c:v>Product Analyst</c:v>
                </c:pt>
                <c:pt idx="16">
                  <c:v>Python Developer</c:v>
                </c:pt>
                <c:pt idx="17">
                  <c:v>QA Engineer</c:v>
                </c:pt>
                <c:pt idx="18">
                  <c:v>Scrum Master</c:v>
                </c:pt>
                <c:pt idx="19">
                  <c:v>Security Analyst</c:v>
                </c:pt>
                <c:pt idx="20">
                  <c:v>Support Analyst</c:v>
                </c:pt>
                <c:pt idx="21">
                  <c:v>Tech Lead</c:v>
                </c:pt>
                <c:pt idx="22">
                  <c:v>Tester</c:v>
                </c:pt>
                <c:pt idx="23">
                  <c:v>UI Developer</c:v>
                </c:pt>
                <c:pt idx="24">
                  <c:v>UX Designer</c:v>
                </c:pt>
              </c:strCache>
            </c:strRef>
          </c:cat>
          <c:val>
            <c:numRef>
              <c:f>Pivot_Analysis!$B$22:$B$47</c:f>
              <c:numCache>
                <c:formatCode>General</c:formatCode>
                <c:ptCount val="25"/>
                <c:pt idx="0">
                  <c:v>23</c:v>
                </c:pt>
                <c:pt idx="1">
                  <c:v>28</c:v>
                </c:pt>
                <c:pt idx="2">
                  <c:v>55</c:v>
                </c:pt>
                <c:pt idx="3">
                  <c:v>25</c:v>
                </c:pt>
                <c:pt idx="4">
                  <c:v>60</c:v>
                </c:pt>
                <c:pt idx="5">
                  <c:v>30</c:v>
                </c:pt>
                <c:pt idx="6">
                  <c:v>40</c:v>
                </c:pt>
                <c:pt idx="7">
                  <c:v>48</c:v>
                </c:pt>
                <c:pt idx="8">
                  <c:v>26</c:v>
                </c:pt>
                <c:pt idx="9">
                  <c:v>44</c:v>
                </c:pt>
                <c:pt idx="10">
                  <c:v>25</c:v>
                </c:pt>
                <c:pt idx="11">
                  <c:v>27</c:v>
                </c:pt>
                <c:pt idx="12">
                  <c:v>45</c:v>
                </c:pt>
                <c:pt idx="13">
                  <c:v>58</c:v>
                </c:pt>
                <c:pt idx="14">
                  <c:v>36</c:v>
                </c:pt>
                <c:pt idx="15">
                  <c:v>35</c:v>
                </c:pt>
                <c:pt idx="16">
                  <c:v>50</c:v>
                </c:pt>
                <c:pt idx="17">
                  <c:v>20</c:v>
                </c:pt>
                <c:pt idx="18">
                  <c:v>24</c:v>
                </c:pt>
                <c:pt idx="19">
                  <c:v>52</c:v>
                </c:pt>
                <c:pt idx="20">
                  <c:v>20</c:v>
                </c:pt>
                <c:pt idx="21">
                  <c:v>62</c:v>
                </c:pt>
                <c:pt idx="22">
                  <c:v>18</c:v>
                </c:pt>
                <c:pt idx="23">
                  <c:v>22</c:v>
                </c:pt>
                <c:pt idx="2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F-4A88-8CA8-DDAE479AF361}"/>
            </c:ext>
          </c:extLst>
        </c:ser>
        <c:ser>
          <c:idx val="1"/>
          <c:order val="1"/>
          <c:tx>
            <c:strRef>
              <c:f>Pivot_Analysis!$C$21</c:f>
              <c:strCache>
                <c:ptCount val="1"/>
                <c:pt idx="0">
                  <c:v>Sum of Interviewed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Pivot_Analysis!$A$22:$A$47</c:f>
              <c:strCache>
                <c:ptCount val="25"/>
                <c:pt idx="0">
                  <c:v>Automation Tester</c:v>
                </c:pt>
                <c:pt idx="1">
                  <c:v>BA</c:v>
                </c:pt>
                <c:pt idx="2">
                  <c:v>Backend Developer</c:v>
                </c:pt>
                <c:pt idx="3">
                  <c:v>Business Analyst</c:v>
                </c:pt>
                <c:pt idx="4">
                  <c:v>Cloud Engineer</c:v>
                </c:pt>
                <c:pt idx="5">
                  <c:v>Data Analyst</c:v>
                </c:pt>
                <c:pt idx="6">
                  <c:v>Data Engineer</c:v>
                </c:pt>
                <c:pt idx="7">
                  <c:v>DevOps Engineer</c:v>
                </c:pt>
                <c:pt idx="8">
                  <c:v>Frontend Developer</c:v>
                </c:pt>
                <c:pt idx="9">
                  <c:v>Full Stack Dev</c:v>
                </c:pt>
                <c:pt idx="10">
                  <c:v>HR Analyst</c:v>
                </c:pt>
                <c:pt idx="11">
                  <c:v>HRBP</c:v>
                </c:pt>
                <c:pt idx="12">
                  <c:v>Java Developer</c:v>
                </c:pt>
                <c:pt idx="13">
                  <c:v>ML Engineer</c:v>
                </c:pt>
                <c:pt idx="14">
                  <c:v>Mobile App Dev</c:v>
                </c:pt>
                <c:pt idx="15">
                  <c:v>Product Analyst</c:v>
                </c:pt>
                <c:pt idx="16">
                  <c:v>Python Developer</c:v>
                </c:pt>
                <c:pt idx="17">
                  <c:v>QA Engineer</c:v>
                </c:pt>
                <c:pt idx="18">
                  <c:v>Scrum Master</c:v>
                </c:pt>
                <c:pt idx="19">
                  <c:v>Security Analyst</c:v>
                </c:pt>
                <c:pt idx="20">
                  <c:v>Support Analyst</c:v>
                </c:pt>
                <c:pt idx="21">
                  <c:v>Tech Lead</c:v>
                </c:pt>
                <c:pt idx="22">
                  <c:v>Tester</c:v>
                </c:pt>
                <c:pt idx="23">
                  <c:v>UI Developer</c:v>
                </c:pt>
                <c:pt idx="24">
                  <c:v>UX Designer</c:v>
                </c:pt>
              </c:strCache>
            </c:strRef>
          </c:cat>
          <c:val>
            <c:numRef>
              <c:f>Pivot_Analysis!$C$22:$C$47</c:f>
              <c:numCache>
                <c:formatCode>General</c:formatCode>
                <c:ptCount val="25"/>
                <c:pt idx="0">
                  <c:v>8</c:v>
                </c:pt>
                <c:pt idx="1">
                  <c:v>10</c:v>
                </c:pt>
                <c:pt idx="2">
                  <c:v>20</c:v>
                </c:pt>
                <c:pt idx="3">
                  <c:v>9</c:v>
                </c:pt>
                <c:pt idx="4">
                  <c:v>22</c:v>
                </c:pt>
                <c:pt idx="5">
                  <c:v>10</c:v>
                </c:pt>
                <c:pt idx="6">
                  <c:v>14</c:v>
                </c:pt>
                <c:pt idx="7">
                  <c:v>14</c:v>
                </c:pt>
                <c:pt idx="8">
                  <c:v>9</c:v>
                </c:pt>
                <c:pt idx="9">
                  <c:v>16</c:v>
                </c:pt>
                <c:pt idx="10">
                  <c:v>9</c:v>
                </c:pt>
                <c:pt idx="11">
                  <c:v>9</c:v>
                </c:pt>
                <c:pt idx="12">
                  <c:v>15</c:v>
                </c:pt>
                <c:pt idx="13">
                  <c:v>21</c:v>
                </c:pt>
                <c:pt idx="14">
                  <c:v>13</c:v>
                </c:pt>
                <c:pt idx="15">
                  <c:v>12</c:v>
                </c:pt>
                <c:pt idx="16">
                  <c:v>18</c:v>
                </c:pt>
                <c:pt idx="17">
                  <c:v>8</c:v>
                </c:pt>
                <c:pt idx="18">
                  <c:v>8</c:v>
                </c:pt>
                <c:pt idx="19">
                  <c:v>19</c:v>
                </c:pt>
                <c:pt idx="20">
                  <c:v>7</c:v>
                </c:pt>
                <c:pt idx="21">
                  <c:v>24</c:v>
                </c:pt>
                <c:pt idx="22">
                  <c:v>6</c:v>
                </c:pt>
                <c:pt idx="23">
                  <c:v>7</c:v>
                </c:pt>
                <c:pt idx="2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7F-4A88-8CA8-DDAE479AF361}"/>
            </c:ext>
          </c:extLst>
        </c:ser>
        <c:ser>
          <c:idx val="2"/>
          <c:order val="2"/>
          <c:tx>
            <c:strRef>
              <c:f>Pivot_Analysis!$D$21</c:f>
              <c:strCache>
                <c:ptCount val="1"/>
                <c:pt idx="0">
                  <c:v>Sum of Offered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Pivot_Analysis!$A$22:$A$47</c:f>
              <c:strCache>
                <c:ptCount val="25"/>
                <c:pt idx="0">
                  <c:v>Automation Tester</c:v>
                </c:pt>
                <c:pt idx="1">
                  <c:v>BA</c:v>
                </c:pt>
                <c:pt idx="2">
                  <c:v>Backend Developer</c:v>
                </c:pt>
                <c:pt idx="3">
                  <c:v>Business Analyst</c:v>
                </c:pt>
                <c:pt idx="4">
                  <c:v>Cloud Engineer</c:v>
                </c:pt>
                <c:pt idx="5">
                  <c:v>Data Analyst</c:v>
                </c:pt>
                <c:pt idx="6">
                  <c:v>Data Engineer</c:v>
                </c:pt>
                <c:pt idx="7">
                  <c:v>DevOps Engineer</c:v>
                </c:pt>
                <c:pt idx="8">
                  <c:v>Frontend Developer</c:v>
                </c:pt>
                <c:pt idx="9">
                  <c:v>Full Stack Dev</c:v>
                </c:pt>
                <c:pt idx="10">
                  <c:v>HR Analyst</c:v>
                </c:pt>
                <c:pt idx="11">
                  <c:v>HRBP</c:v>
                </c:pt>
                <c:pt idx="12">
                  <c:v>Java Developer</c:v>
                </c:pt>
                <c:pt idx="13">
                  <c:v>ML Engineer</c:v>
                </c:pt>
                <c:pt idx="14">
                  <c:v>Mobile App Dev</c:v>
                </c:pt>
                <c:pt idx="15">
                  <c:v>Product Analyst</c:v>
                </c:pt>
                <c:pt idx="16">
                  <c:v>Python Developer</c:v>
                </c:pt>
                <c:pt idx="17">
                  <c:v>QA Engineer</c:v>
                </c:pt>
                <c:pt idx="18">
                  <c:v>Scrum Master</c:v>
                </c:pt>
                <c:pt idx="19">
                  <c:v>Security Analyst</c:v>
                </c:pt>
                <c:pt idx="20">
                  <c:v>Support Analyst</c:v>
                </c:pt>
                <c:pt idx="21">
                  <c:v>Tech Lead</c:v>
                </c:pt>
                <c:pt idx="22">
                  <c:v>Tester</c:v>
                </c:pt>
                <c:pt idx="23">
                  <c:v>UI Developer</c:v>
                </c:pt>
                <c:pt idx="24">
                  <c:v>UX Designer</c:v>
                </c:pt>
              </c:strCache>
            </c:strRef>
          </c:cat>
          <c:val>
            <c:numRef>
              <c:f>Pivot_Analysis!$D$22:$D$47</c:f>
              <c:numCache>
                <c:formatCode>General</c:formatCode>
                <c:ptCount val="25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5</c:v>
                </c:pt>
                <c:pt idx="17">
                  <c:v>2</c:v>
                </c:pt>
                <c:pt idx="18">
                  <c:v>2</c:v>
                </c:pt>
                <c:pt idx="19">
                  <c:v>5</c:v>
                </c:pt>
                <c:pt idx="20">
                  <c:v>2</c:v>
                </c:pt>
                <c:pt idx="21">
                  <c:v>6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7F-4A88-8CA8-DDAE479AF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2764640"/>
        <c:axId val="2072765120"/>
      </c:barChart>
      <c:catAx>
        <c:axId val="207276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765120"/>
        <c:crosses val="autoZero"/>
        <c:auto val="1"/>
        <c:lblAlgn val="ctr"/>
        <c:lblOffset val="100"/>
        <c:noMultiLvlLbl val="0"/>
      </c:catAx>
      <c:valAx>
        <c:axId val="207276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76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[TA_Excel_Data.xlsx]Pivot_Analysis!PivotTable2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Count of Req_ID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Pivot_Analysis!$A$4:$A$7</c:f>
              <c:strCache>
                <c:ptCount val="3"/>
                <c:pt idx="0">
                  <c:v>Amit</c:v>
                </c:pt>
                <c:pt idx="1">
                  <c:v>Neha</c:v>
                </c:pt>
                <c:pt idx="2">
                  <c:v>Rohit</c:v>
                </c:pt>
              </c:strCache>
            </c:strRef>
          </c:cat>
          <c:val>
            <c:numRef>
              <c:f>Pivot_Analysis!$B$4:$B$7</c:f>
              <c:numCache>
                <c:formatCode>General</c:formatCode>
                <c:ptCount val="3"/>
                <c:pt idx="0">
                  <c:v>9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4-47D4-A21C-B2FC3AB61F34}"/>
            </c:ext>
          </c:extLst>
        </c:ser>
        <c:ser>
          <c:idx val="1"/>
          <c:order val="1"/>
          <c:tx>
            <c:strRef>
              <c:f>Pivot_Analysis!$C$3</c:f>
              <c:strCache>
                <c:ptCount val="1"/>
                <c:pt idx="0">
                  <c:v>Average of Days_to_Hire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Pivot_Analysis!$A$4:$A$7</c:f>
              <c:strCache>
                <c:ptCount val="3"/>
                <c:pt idx="0">
                  <c:v>Amit</c:v>
                </c:pt>
                <c:pt idx="1">
                  <c:v>Neha</c:v>
                </c:pt>
                <c:pt idx="2">
                  <c:v>Rohit</c:v>
                </c:pt>
              </c:strCache>
            </c:strRef>
          </c:cat>
          <c:val>
            <c:numRef>
              <c:f>Pivot_Analysis!$C$4:$C$7</c:f>
              <c:numCache>
                <c:formatCode>0.00</c:formatCode>
                <c:ptCount val="3"/>
                <c:pt idx="0">
                  <c:v>36.222222222222221</c:v>
                </c:pt>
                <c:pt idx="1">
                  <c:v>58.125</c:v>
                </c:pt>
                <c:pt idx="2">
                  <c:v>27.25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F4-47D4-A21C-B2FC3AB61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664544"/>
        <c:axId val="1228755728"/>
      </c:barChart>
      <c:catAx>
        <c:axId val="127166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55728"/>
        <c:crosses val="autoZero"/>
        <c:auto val="1"/>
        <c:lblAlgn val="ctr"/>
        <c:lblOffset val="100"/>
        <c:noMultiLvlLbl val="0"/>
      </c:catAx>
      <c:valAx>
        <c:axId val="122875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66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[TA_Excel_Data.xlsx]Pivot_Analysis!PivotTable4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Pivot_Analysis!$B$21</c:f>
              <c:strCache>
                <c:ptCount val="1"/>
                <c:pt idx="0">
                  <c:v>Sum of CV_Received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Pivot_Analysis!$A$22:$A$47</c:f>
              <c:strCache>
                <c:ptCount val="25"/>
                <c:pt idx="0">
                  <c:v>Automation Tester</c:v>
                </c:pt>
                <c:pt idx="1">
                  <c:v>BA</c:v>
                </c:pt>
                <c:pt idx="2">
                  <c:v>Backend Developer</c:v>
                </c:pt>
                <c:pt idx="3">
                  <c:v>Business Analyst</c:v>
                </c:pt>
                <c:pt idx="4">
                  <c:v>Cloud Engineer</c:v>
                </c:pt>
                <c:pt idx="5">
                  <c:v>Data Analyst</c:v>
                </c:pt>
                <c:pt idx="6">
                  <c:v>Data Engineer</c:v>
                </c:pt>
                <c:pt idx="7">
                  <c:v>DevOps Engineer</c:v>
                </c:pt>
                <c:pt idx="8">
                  <c:v>Frontend Developer</c:v>
                </c:pt>
                <c:pt idx="9">
                  <c:v>Full Stack Dev</c:v>
                </c:pt>
                <c:pt idx="10">
                  <c:v>HR Analyst</c:v>
                </c:pt>
                <c:pt idx="11">
                  <c:v>HRBP</c:v>
                </c:pt>
                <c:pt idx="12">
                  <c:v>Java Developer</c:v>
                </c:pt>
                <c:pt idx="13">
                  <c:v>ML Engineer</c:v>
                </c:pt>
                <c:pt idx="14">
                  <c:v>Mobile App Dev</c:v>
                </c:pt>
                <c:pt idx="15">
                  <c:v>Product Analyst</c:v>
                </c:pt>
                <c:pt idx="16">
                  <c:v>Python Developer</c:v>
                </c:pt>
                <c:pt idx="17">
                  <c:v>QA Engineer</c:v>
                </c:pt>
                <c:pt idx="18">
                  <c:v>Scrum Master</c:v>
                </c:pt>
                <c:pt idx="19">
                  <c:v>Security Analyst</c:v>
                </c:pt>
                <c:pt idx="20">
                  <c:v>Support Analyst</c:v>
                </c:pt>
                <c:pt idx="21">
                  <c:v>Tech Lead</c:v>
                </c:pt>
                <c:pt idx="22">
                  <c:v>Tester</c:v>
                </c:pt>
                <c:pt idx="23">
                  <c:v>UI Developer</c:v>
                </c:pt>
                <c:pt idx="24">
                  <c:v>UX Designer</c:v>
                </c:pt>
              </c:strCache>
            </c:strRef>
          </c:cat>
          <c:val>
            <c:numRef>
              <c:f>Pivot_Analysis!$B$22:$B$47</c:f>
              <c:numCache>
                <c:formatCode>General</c:formatCode>
                <c:ptCount val="25"/>
                <c:pt idx="0">
                  <c:v>23</c:v>
                </c:pt>
                <c:pt idx="1">
                  <c:v>28</c:v>
                </c:pt>
                <c:pt idx="2">
                  <c:v>55</c:v>
                </c:pt>
                <c:pt idx="3">
                  <c:v>25</c:v>
                </c:pt>
                <c:pt idx="4">
                  <c:v>60</c:v>
                </c:pt>
                <c:pt idx="5">
                  <c:v>30</c:v>
                </c:pt>
                <c:pt idx="6">
                  <c:v>40</c:v>
                </c:pt>
                <c:pt idx="7">
                  <c:v>48</c:v>
                </c:pt>
                <c:pt idx="8">
                  <c:v>26</c:v>
                </c:pt>
                <c:pt idx="9">
                  <c:v>44</c:v>
                </c:pt>
                <c:pt idx="10">
                  <c:v>25</c:v>
                </c:pt>
                <c:pt idx="11">
                  <c:v>27</c:v>
                </c:pt>
                <c:pt idx="12">
                  <c:v>45</c:v>
                </c:pt>
                <c:pt idx="13">
                  <c:v>58</c:v>
                </c:pt>
                <c:pt idx="14">
                  <c:v>36</c:v>
                </c:pt>
                <c:pt idx="15">
                  <c:v>35</c:v>
                </c:pt>
                <c:pt idx="16">
                  <c:v>50</c:v>
                </c:pt>
                <c:pt idx="17">
                  <c:v>20</c:v>
                </c:pt>
                <c:pt idx="18">
                  <c:v>24</c:v>
                </c:pt>
                <c:pt idx="19">
                  <c:v>52</c:v>
                </c:pt>
                <c:pt idx="20">
                  <c:v>20</c:v>
                </c:pt>
                <c:pt idx="21">
                  <c:v>62</c:v>
                </c:pt>
                <c:pt idx="22">
                  <c:v>18</c:v>
                </c:pt>
                <c:pt idx="23">
                  <c:v>22</c:v>
                </c:pt>
                <c:pt idx="2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9-46F4-8AB6-EB49B8799EE7}"/>
            </c:ext>
          </c:extLst>
        </c:ser>
        <c:ser>
          <c:idx val="1"/>
          <c:order val="1"/>
          <c:tx>
            <c:strRef>
              <c:f>Pivot_Analysis!$C$21</c:f>
              <c:strCache>
                <c:ptCount val="1"/>
                <c:pt idx="0">
                  <c:v>Sum of Interviewed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Pivot_Analysis!$A$22:$A$47</c:f>
              <c:strCache>
                <c:ptCount val="25"/>
                <c:pt idx="0">
                  <c:v>Automation Tester</c:v>
                </c:pt>
                <c:pt idx="1">
                  <c:v>BA</c:v>
                </c:pt>
                <c:pt idx="2">
                  <c:v>Backend Developer</c:v>
                </c:pt>
                <c:pt idx="3">
                  <c:v>Business Analyst</c:v>
                </c:pt>
                <c:pt idx="4">
                  <c:v>Cloud Engineer</c:v>
                </c:pt>
                <c:pt idx="5">
                  <c:v>Data Analyst</c:v>
                </c:pt>
                <c:pt idx="6">
                  <c:v>Data Engineer</c:v>
                </c:pt>
                <c:pt idx="7">
                  <c:v>DevOps Engineer</c:v>
                </c:pt>
                <c:pt idx="8">
                  <c:v>Frontend Developer</c:v>
                </c:pt>
                <c:pt idx="9">
                  <c:v>Full Stack Dev</c:v>
                </c:pt>
                <c:pt idx="10">
                  <c:v>HR Analyst</c:v>
                </c:pt>
                <c:pt idx="11">
                  <c:v>HRBP</c:v>
                </c:pt>
                <c:pt idx="12">
                  <c:v>Java Developer</c:v>
                </c:pt>
                <c:pt idx="13">
                  <c:v>ML Engineer</c:v>
                </c:pt>
                <c:pt idx="14">
                  <c:v>Mobile App Dev</c:v>
                </c:pt>
                <c:pt idx="15">
                  <c:v>Product Analyst</c:v>
                </c:pt>
                <c:pt idx="16">
                  <c:v>Python Developer</c:v>
                </c:pt>
                <c:pt idx="17">
                  <c:v>QA Engineer</c:v>
                </c:pt>
                <c:pt idx="18">
                  <c:v>Scrum Master</c:v>
                </c:pt>
                <c:pt idx="19">
                  <c:v>Security Analyst</c:v>
                </c:pt>
                <c:pt idx="20">
                  <c:v>Support Analyst</c:v>
                </c:pt>
                <c:pt idx="21">
                  <c:v>Tech Lead</c:v>
                </c:pt>
                <c:pt idx="22">
                  <c:v>Tester</c:v>
                </c:pt>
                <c:pt idx="23">
                  <c:v>UI Developer</c:v>
                </c:pt>
                <c:pt idx="24">
                  <c:v>UX Designer</c:v>
                </c:pt>
              </c:strCache>
            </c:strRef>
          </c:cat>
          <c:val>
            <c:numRef>
              <c:f>Pivot_Analysis!$C$22:$C$47</c:f>
              <c:numCache>
                <c:formatCode>General</c:formatCode>
                <c:ptCount val="25"/>
                <c:pt idx="0">
                  <c:v>8</c:v>
                </c:pt>
                <c:pt idx="1">
                  <c:v>10</c:v>
                </c:pt>
                <c:pt idx="2">
                  <c:v>20</c:v>
                </c:pt>
                <c:pt idx="3">
                  <c:v>9</c:v>
                </c:pt>
                <c:pt idx="4">
                  <c:v>22</c:v>
                </c:pt>
                <c:pt idx="5">
                  <c:v>10</c:v>
                </c:pt>
                <c:pt idx="6">
                  <c:v>14</c:v>
                </c:pt>
                <c:pt idx="7">
                  <c:v>14</c:v>
                </c:pt>
                <c:pt idx="8">
                  <c:v>9</c:v>
                </c:pt>
                <c:pt idx="9">
                  <c:v>16</c:v>
                </c:pt>
                <c:pt idx="10">
                  <c:v>9</c:v>
                </c:pt>
                <c:pt idx="11">
                  <c:v>9</c:v>
                </c:pt>
                <c:pt idx="12">
                  <c:v>15</c:v>
                </c:pt>
                <c:pt idx="13">
                  <c:v>21</c:v>
                </c:pt>
                <c:pt idx="14">
                  <c:v>13</c:v>
                </c:pt>
                <c:pt idx="15">
                  <c:v>12</c:v>
                </c:pt>
                <c:pt idx="16">
                  <c:v>18</c:v>
                </c:pt>
                <c:pt idx="17">
                  <c:v>8</c:v>
                </c:pt>
                <c:pt idx="18">
                  <c:v>8</c:v>
                </c:pt>
                <c:pt idx="19">
                  <c:v>19</c:v>
                </c:pt>
                <c:pt idx="20">
                  <c:v>7</c:v>
                </c:pt>
                <c:pt idx="21">
                  <c:v>24</c:v>
                </c:pt>
                <c:pt idx="22">
                  <c:v>6</c:v>
                </c:pt>
                <c:pt idx="23">
                  <c:v>7</c:v>
                </c:pt>
                <c:pt idx="2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99-46F4-8AB6-EB49B8799EE7}"/>
            </c:ext>
          </c:extLst>
        </c:ser>
        <c:ser>
          <c:idx val="2"/>
          <c:order val="2"/>
          <c:tx>
            <c:strRef>
              <c:f>Pivot_Analysis!$D$21</c:f>
              <c:strCache>
                <c:ptCount val="1"/>
                <c:pt idx="0">
                  <c:v>Sum of Offered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Pivot_Analysis!$A$22:$A$47</c:f>
              <c:strCache>
                <c:ptCount val="25"/>
                <c:pt idx="0">
                  <c:v>Automation Tester</c:v>
                </c:pt>
                <c:pt idx="1">
                  <c:v>BA</c:v>
                </c:pt>
                <c:pt idx="2">
                  <c:v>Backend Developer</c:v>
                </c:pt>
                <c:pt idx="3">
                  <c:v>Business Analyst</c:v>
                </c:pt>
                <c:pt idx="4">
                  <c:v>Cloud Engineer</c:v>
                </c:pt>
                <c:pt idx="5">
                  <c:v>Data Analyst</c:v>
                </c:pt>
                <c:pt idx="6">
                  <c:v>Data Engineer</c:v>
                </c:pt>
                <c:pt idx="7">
                  <c:v>DevOps Engineer</c:v>
                </c:pt>
                <c:pt idx="8">
                  <c:v>Frontend Developer</c:v>
                </c:pt>
                <c:pt idx="9">
                  <c:v>Full Stack Dev</c:v>
                </c:pt>
                <c:pt idx="10">
                  <c:v>HR Analyst</c:v>
                </c:pt>
                <c:pt idx="11">
                  <c:v>HRBP</c:v>
                </c:pt>
                <c:pt idx="12">
                  <c:v>Java Developer</c:v>
                </c:pt>
                <c:pt idx="13">
                  <c:v>ML Engineer</c:v>
                </c:pt>
                <c:pt idx="14">
                  <c:v>Mobile App Dev</c:v>
                </c:pt>
                <c:pt idx="15">
                  <c:v>Product Analyst</c:v>
                </c:pt>
                <c:pt idx="16">
                  <c:v>Python Developer</c:v>
                </c:pt>
                <c:pt idx="17">
                  <c:v>QA Engineer</c:v>
                </c:pt>
                <c:pt idx="18">
                  <c:v>Scrum Master</c:v>
                </c:pt>
                <c:pt idx="19">
                  <c:v>Security Analyst</c:v>
                </c:pt>
                <c:pt idx="20">
                  <c:v>Support Analyst</c:v>
                </c:pt>
                <c:pt idx="21">
                  <c:v>Tech Lead</c:v>
                </c:pt>
                <c:pt idx="22">
                  <c:v>Tester</c:v>
                </c:pt>
                <c:pt idx="23">
                  <c:v>UI Developer</c:v>
                </c:pt>
                <c:pt idx="24">
                  <c:v>UX Designer</c:v>
                </c:pt>
              </c:strCache>
            </c:strRef>
          </c:cat>
          <c:val>
            <c:numRef>
              <c:f>Pivot_Analysis!$D$22:$D$47</c:f>
              <c:numCache>
                <c:formatCode>General</c:formatCode>
                <c:ptCount val="25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5</c:v>
                </c:pt>
                <c:pt idx="17">
                  <c:v>2</c:v>
                </c:pt>
                <c:pt idx="18">
                  <c:v>2</c:v>
                </c:pt>
                <c:pt idx="19">
                  <c:v>5</c:v>
                </c:pt>
                <c:pt idx="20">
                  <c:v>2</c:v>
                </c:pt>
                <c:pt idx="21">
                  <c:v>6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99-46F4-8AB6-EB49B8799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2764640"/>
        <c:axId val="2072765120"/>
      </c:barChart>
      <c:catAx>
        <c:axId val="207276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765120"/>
        <c:crosses val="autoZero"/>
        <c:auto val="1"/>
        <c:lblAlgn val="ctr"/>
        <c:lblOffset val="100"/>
        <c:noMultiLvlLbl val="0"/>
      </c:catAx>
      <c:valAx>
        <c:axId val="207276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76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[TA_Excel_Data.xlsx]Pivot_Analysis!PivotTable3</c:name>
    <c:fmtId val="3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Pivot_Analysis!$B$12</c:f>
              <c:strCache>
                <c:ptCount val="1"/>
                <c:pt idx="0">
                  <c:v>Count of Req_ID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Pivot_Analysis!$A$13:$A$16</c:f>
              <c:strCache>
                <c:ptCount val="3"/>
                <c:pt idx="0">
                  <c:v>LinkedIn</c:v>
                </c:pt>
                <c:pt idx="1">
                  <c:v>Naukri</c:v>
                </c:pt>
                <c:pt idx="2">
                  <c:v>Referral</c:v>
                </c:pt>
              </c:strCache>
            </c:strRef>
          </c:cat>
          <c:val>
            <c:numRef>
              <c:f>Pivot_Analysis!$B$13:$B$16</c:f>
              <c:numCache>
                <c:formatCode>General</c:formatCode>
                <c:ptCount val="3"/>
                <c:pt idx="0">
                  <c:v>9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9-4849-922E-C30A3254DF62}"/>
            </c:ext>
          </c:extLst>
        </c:ser>
        <c:ser>
          <c:idx val="1"/>
          <c:order val="1"/>
          <c:tx>
            <c:strRef>
              <c:f>Pivot_Analysis!$C$12</c:f>
              <c:strCache>
                <c:ptCount val="1"/>
                <c:pt idx="0">
                  <c:v>Count of Offer_Accepted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Pivot_Analysis!$A$13:$A$16</c:f>
              <c:strCache>
                <c:ptCount val="3"/>
                <c:pt idx="0">
                  <c:v>LinkedIn</c:v>
                </c:pt>
                <c:pt idx="1">
                  <c:v>Naukri</c:v>
                </c:pt>
                <c:pt idx="2">
                  <c:v>Referral</c:v>
                </c:pt>
              </c:strCache>
            </c:strRef>
          </c:cat>
          <c:val>
            <c:numRef>
              <c:f>Pivot_Analysis!$C$13:$C$16</c:f>
              <c:numCache>
                <c:formatCode>General</c:formatCode>
                <c:ptCount val="3"/>
                <c:pt idx="0">
                  <c:v>9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9-4849-922E-C30A3254DF62}"/>
            </c:ext>
          </c:extLst>
        </c:ser>
        <c:ser>
          <c:idx val="2"/>
          <c:order val="2"/>
          <c:tx>
            <c:strRef>
              <c:f>Pivot_Analysis!$D$12</c:f>
              <c:strCache>
                <c:ptCount val="1"/>
                <c:pt idx="0">
                  <c:v>Sum of CV_Received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Pivot_Analysis!$A$13:$A$16</c:f>
              <c:strCache>
                <c:ptCount val="3"/>
                <c:pt idx="0">
                  <c:v>LinkedIn</c:v>
                </c:pt>
                <c:pt idx="1">
                  <c:v>Naukri</c:v>
                </c:pt>
                <c:pt idx="2">
                  <c:v>Referral</c:v>
                </c:pt>
              </c:strCache>
            </c:strRef>
          </c:cat>
          <c:val>
            <c:numRef>
              <c:f>Pivot_Analysis!$D$13:$D$16</c:f>
              <c:numCache>
                <c:formatCode>General</c:formatCode>
                <c:ptCount val="3"/>
                <c:pt idx="0">
                  <c:v>289</c:v>
                </c:pt>
                <c:pt idx="1">
                  <c:v>430</c:v>
                </c:pt>
                <c:pt idx="2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9-4849-922E-C30A3254D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1804384"/>
        <c:axId val="2021804864"/>
      </c:barChart>
      <c:catAx>
        <c:axId val="202180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804864"/>
        <c:crosses val="autoZero"/>
        <c:auto val="1"/>
        <c:lblAlgn val="ctr"/>
        <c:lblOffset val="100"/>
        <c:noMultiLvlLbl val="0"/>
      </c:catAx>
      <c:valAx>
        <c:axId val="202180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80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2</xdr:col>
      <xdr:colOff>1504950</xdr:colOff>
      <xdr:row>1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C930A16-49E0-FAE8-F352-0D8F05D29E6B}"/>
            </a:ext>
          </a:extLst>
        </xdr:cNvPr>
        <xdr:cNvSpPr/>
      </xdr:nvSpPr>
      <xdr:spPr>
        <a:xfrm>
          <a:off x="0" y="19050"/>
          <a:ext cx="3409950" cy="2571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Recruiter Performance Analysis</a:t>
          </a:r>
        </a:p>
      </xdr:txBody>
    </xdr:sp>
    <xdr:clientData/>
  </xdr:twoCellAnchor>
  <xdr:twoCellAnchor>
    <xdr:from>
      <xdr:col>0</xdr:col>
      <xdr:colOff>0</xdr:colOff>
      <xdr:row>9</xdr:row>
      <xdr:rowOff>9525</xdr:rowOff>
    </xdr:from>
    <xdr:to>
      <xdr:col>2</xdr:col>
      <xdr:colOff>1504950</xdr:colOff>
      <xdr:row>10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91FB9C9-7D49-4279-902E-B0FC31EB4B7C}"/>
            </a:ext>
          </a:extLst>
        </xdr:cNvPr>
        <xdr:cNvSpPr/>
      </xdr:nvSpPr>
      <xdr:spPr>
        <a:xfrm>
          <a:off x="0" y="1724025"/>
          <a:ext cx="3409950" cy="2571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Source Effectiveness Analysis</a:t>
          </a:r>
        </a:p>
      </xdr:txBody>
    </xdr:sp>
    <xdr:clientData/>
  </xdr:twoCellAnchor>
  <xdr:twoCellAnchor>
    <xdr:from>
      <xdr:col>0</xdr:col>
      <xdr:colOff>0</xdr:colOff>
      <xdr:row>17</xdr:row>
      <xdr:rowOff>152400</xdr:rowOff>
    </xdr:from>
    <xdr:to>
      <xdr:col>2</xdr:col>
      <xdr:colOff>1504950</xdr:colOff>
      <xdr:row>19</xdr:row>
      <xdr:rowOff>19050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26E1FBA-358A-4F17-8616-7A7DEEA76626}"/>
            </a:ext>
          </a:extLst>
        </xdr:cNvPr>
        <xdr:cNvSpPr/>
      </xdr:nvSpPr>
      <xdr:spPr>
        <a:xfrm>
          <a:off x="0" y="3390900"/>
          <a:ext cx="3409950" cy="2571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Funnel Insight</a:t>
          </a:r>
        </a:p>
      </xdr:txBody>
    </xdr:sp>
    <xdr:clientData/>
  </xdr:twoCellAnchor>
  <xdr:twoCellAnchor>
    <xdr:from>
      <xdr:col>4</xdr:col>
      <xdr:colOff>161925</xdr:colOff>
      <xdr:row>26</xdr:row>
      <xdr:rowOff>114300</xdr:rowOff>
    </xdr:from>
    <xdr:to>
      <xdr:col>8</xdr:col>
      <xdr:colOff>1009650</xdr:colOff>
      <xdr:row>41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F218640-0E57-E387-0D01-AAACF5403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7328</xdr:rowOff>
    </xdr:from>
    <xdr:to>
      <xdr:col>0</xdr:col>
      <xdr:colOff>3172558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2E739-38BB-4646-8435-B8E47F5BFB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197826</xdr:colOff>
      <xdr:row>7</xdr:row>
      <xdr:rowOff>7329</xdr:rowOff>
    </xdr:from>
    <xdr:to>
      <xdr:col>12</xdr:col>
      <xdr:colOff>146537</xdr:colOff>
      <xdr:row>16</xdr:row>
      <xdr:rowOff>234460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0D6E75-0BDC-4FD5-8E72-9FD7C5361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3568212</xdr:colOff>
      <xdr:row>7</xdr:row>
      <xdr:rowOff>7326</xdr:rowOff>
    </xdr:from>
    <xdr:to>
      <xdr:col>5</xdr:col>
      <xdr:colOff>468923</xdr:colOff>
      <xdr:row>17</xdr:row>
      <xdr:rowOff>14654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AC166D-7EAA-4ED6-9C96-D2B1CFC80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42.794592361111" createdVersion="8" refreshedVersion="8" minRefreshableVersion="3" recordCount="25" xr:uid="{26AFF918-6BC9-4754-9BA8-A11B5D212191}">
  <cacheSource type="worksheet">
    <worksheetSource ref="A1:J26" sheet="TA_Data"/>
  </cacheSource>
  <cacheFields count="10">
    <cacheField name="Req_ID" numFmtId="0">
      <sharedItems count="25">
        <s v="REQ001"/>
        <s v="REQ002"/>
        <s v="REQ003"/>
        <s v="REQ004"/>
        <s v="REQ005"/>
        <s v="REQ006"/>
        <s v="REQ007"/>
        <s v="REQ008"/>
        <s v="REQ009"/>
        <s v="REQ010"/>
        <s v="REQ011"/>
        <s v="REQ012"/>
        <s v="REQ013"/>
        <s v="REQ014"/>
        <s v="REQ015"/>
        <s v="REQ016"/>
        <s v="REQ017"/>
        <s v="REQ018"/>
        <s v="REQ019"/>
        <s v="REQ020"/>
        <s v="REQ021"/>
        <s v="REQ022"/>
        <s v="REQ023"/>
        <s v="REQ024"/>
        <s v="REQ025"/>
      </sharedItems>
    </cacheField>
    <cacheField name="Role" numFmtId="0">
      <sharedItems count="25">
        <s v="Data Analyst"/>
        <s v="Java Developer"/>
        <s v="QA Engineer"/>
        <s v="HR Analyst"/>
        <s v="Python Developer"/>
        <s v="UI Developer"/>
        <s v="BA"/>
        <s v="DevOps Engineer"/>
        <s v="Tester"/>
        <s v="Product Analyst"/>
        <s v="Backend Developer"/>
        <s v="Frontend Developer"/>
        <s v="Scrum Master"/>
        <s v="Cloud Engineer"/>
        <s v="Support Analyst"/>
        <s v="Data Engineer"/>
        <s v="ML Engineer"/>
        <s v="Automation Tester"/>
        <s v="HRBP"/>
        <s v="Tech Lead"/>
        <s v="Business Analyst"/>
        <s v="Full Stack Dev"/>
        <s v="Security Analyst"/>
        <s v="UX Designer"/>
        <s v="Mobile App Dev"/>
      </sharedItems>
    </cacheField>
    <cacheField name="Recruiter" numFmtId="0">
      <sharedItems count="3">
        <s v="Amit"/>
        <s v="Neha"/>
        <s v="Rohit"/>
      </sharedItems>
    </cacheField>
    <cacheField name="Source" numFmtId="0">
      <sharedItems count="3">
        <s v="LinkedIn"/>
        <s v="Naukri"/>
        <s v="Referral"/>
      </sharedItems>
    </cacheField>
    <cacheField name="CV_Received" numFmtId="0">
      <sharedItems containsSemiMixedTypes="0" containsString="0" containsNumber="1" containsInteger="1" minValue="18" maxValue="62"/>
    </cacheField>
    <cacheField name="Screened" numFmtId="0">
      <sharedItems containsSemiMixedTypes="0" containsString="0" containsNumber="1" containsInteger="1" minValue="14" maxValue="48"/>
    </cacheField>
    <cacheField name="Interviewed" numFmtId="0">
      <sharedItems containsSemiMixedTypes="0" containsString="0" containsNumber="1" containsInteger="1" minValue="6" maxValue="24"/>
    </cacheField>
    <cacheField name="Offered" numFmtId="0">
      <sharedItems containsSemiMixedTypes="0" containsString="0" containsNumber="1" containsInteger="1" minValue="2" maxValue="6"/>
    </cacheField>
    <cacheField name="Offer_Accepted" numFmtId="0">
      <sharedItems count="2">
        <s v="Yes"/>
        <s v="No"/>
      </sharedItems>
    </cacheField>
    <cacheField name="Days_to_Hire" numFmtId="0">
      <sharedItems containsSemiMixedTypes="0" containsString="0" containsNumber="1" containsInteger="1" minValue="24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x v="0"/>
    <x v="0"/>
    <n v="30"/>
    <n v="20"/>
    <n v="10"/>
    <n v="3"/>
    <x v="0"/>
    <n v="32"/>
  </r>
  <r>
    <x v="1"/>
    <x v="1"/>
    <x v="1"/>
    <x v="1"/>
    <n v="45"/>
    <n v="30"/>
    <n v="15"/>
    <n v="4"/>
    <x v="1"/>
    <n v="45"/>
  </r>
  <r>
    <x v="2"/>
    <x v="2"/>
    <x v="2"/>
    <x v="2"/>
    <n v="20"/>
    <n v="15"/>
    <n v="8"/>
    <n v="2"/>
    <x v="0"/>
    <n v="28"/>
  </r>
  <r>
    <x v="3"/>
    <x v="3"/>
    <x v="0"/>
    <x v="0"/>
    <n v="25"/>
    <n v="18"/>
    <n v="9"/>
    <n v="3"/>
    <x v="0"/>
    <n v="30"/>
  </r>
  <r>
    <x v="4"/>
    <x v="4"/>
    <x v="1"/>
    <x v="1"/>
    <n v="50"/>
    <n v="35"/>
    <n v="18"/>
    <n v="5"/>
    <x v="1"/>
    <n v="55"/>
  </r>
  <r>
    <x v="5"/>
    <x v="5"/>
    <x v="2"/>
    <x v="2"/>
    <n v="22"/>
    <n v="16"/>
    <n v="7"/>
    <n v="2"/>
    <x v="0"/>
    <n v="26"/>
  </r>
  <r>
    <x v="6"/>
    <x v="6"/>
    <x v="0"/>
    <x v="0"/>
    <n v="28"/>
    <n v="20"/>
    <n v="10"/>
    <n v="3"/>
    <x v="0"/>
    <n v="34"/>
  </r>
  <r>
    <x v="7"/>
    <x v="7"/>
    <x v="1"/>
    <x v="1"/>
    <n v="48"/>
    <n v="32"/>
    <n v="14"/>
    <n v="4"/>
    <x v="1"/>
    <n v="50"/>
  </r>
  <r>
    <x v="8"/>
    <x v="8"/>
    <x v="2"/>
    <x v="2"/>
    <n v="18"/>
    <n v="14"/>
    <n v="6"/>
    <n v="2"/>
    <x v="0"/>
    <n v="24"/>
  </r>
  <r>
    <x v="9"/>
    <x v="9"/>
    <x v="0"/>
    <x v="0"/>
    <n v="35"/>
    <n v="25"/>
    <n v="12"/>
    <n v="3"/>
    <x v="0"/>
    <n v="38"/>
  </r>
  <r>
    <x v="10"/>
    <x v="10"/>
    <x v="1"/>
    <x v="1"/>
    <n v="55"/>
    <n v="40"/>
    <n v="20"/>
    <n v="5"/>
    <x v="1"/>
    <n v="60"/>
  </r>
  <r>
    <x v="11"/>
    <x v="11"/>
    <x v="2"/>
    <x v="2"/>
    <n v="26"/>
    <n v="19"/>
    <n v="9"/>
    <n v="3"/>
    <x v="0"/>
    <n v="29"/>
  </r>
  <r>
    <x v="12"/>
    <x v="12"/>
    <x v="0"/>
    <x v="0"/>
    <n v="24"/>
    <n v="18"/>
    <n v="8"/>
    <n v="2"/>
    <x v="0"/>
    <n v="31"/>
  </r>
  <r>
    <x v="13"/>
    <x v="13"/>
    <x v="1"/>
    <x v="1"/>
    <n v="60"/>
    <n v="45"/>
    <n v="22"/>
    <n v="6"/>
    <x v="1"/>
    <n v="62"/>
  </r>
  <r>
    <x v="14"/>
    <x v="14"/>
    <x v="2"/>
    <x v="2"/>
    <n v="20"/>
    <n v="15"/>
    <n v="7"/>
    <n v="2"/>
    <x v="0"/>
    <n v="27"/>
  </r>
  <r>
    <x v="15"/>
    <x v="15"/>
    <x v="0"/>
    <x v="0"/>
    <n v="40"/>
    <n v="28"/>
    <n v="14"/>
    <n v="4"/>
    <x v="0"/>
    <n v="42"/>
  </r>
  <r>
    <x v="16"/>
    <x v="16"/>
    <x v="1"/>
    <x v="1"/>
    <n v="58"/>
    <n v="42"/>
    <n v="21"/>
    <n v="5"/>
    <x v="1"/>
    <n v="65"/>
  </r>
  <r>
    <x v="17"/>
    <x v="17"/>
    <x v="2"/>
    <x v="2"/>
    <n v="23"/>
    <n v="17"/>
    <n v="8"/>
    <n v="2"/>
    <x v="0"/>
    <n v="28"/>
  </r>
  <r>
    <x v="18"/>
    <x v="18"/>
    <x v="0"/>
    <x v="0"/>
    <n v="27"/>
    <n v="19"/>
    <n v="9"/>
    <n v="3"/>
    <x v="0"/>
    <n v="33"/>
  </r>
  <r>
    <x v="19"/>
    <x v="19"/>
    <x v="1"/>
    <x v="1"/>
    <n v="62"/>
    <n v="48"/>
    <n v="24"/>
    <n v="6"/>
    <x v="1"/>
    <n v="70"/>
  </r>
  <r>
    <x v="20"/>
    <x v="20"/>
    <x v="2"/>
    <x v="2"/>
    <n v="25"/>
    <n v="18"/>
    <n v="9"/>
    <n v="2"/>
    <x v="0"/>
    <n v="30"/>
  </r>
  <r>
    <x v="21"/>
    <x v="21"/>
    <x v="0"/>
    <x v="0"/>
    <n v="44"/>
    <n v="32"/>
    <n v="16"/>
    <n v="4"/>
    <x v="0"/>
    <n v="46"/>
  </r>
  <r>
    <x v="22"/>
    <x v="22"/>
    <x v="1"/>
    <x v="1"/>
    <n v="52"/>
    <n v="38"/>
    <n v="19"/>
    <n v="5"/>
    <x v="1"/>
    <n v="58"/>
  </r>
  <r>
    <x v="23"/>
    <x v="23"/>
    <x v="2"/>
    <x v="2"/>
    <n v="21"/>
    <n v="16"/>
    <n v="7"/>
    <n v="2"/>
    <x v="0"/>
    <n v="26"/>
  </r>
  <r>
    <x v="24"/>
    <x v="24"/>
    <x v="0"/>
    <x v="0"/>
    <n v="36"/>
    <n v="26"/>
    <n v="13"/>
    <n v="3"/>
    <x v="0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5684E-BC5E-4C5A-AEB2-003C6B5A5000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1:D47" firstHeaderRow="0" firstDataRow="1" firstDataCol="1"/>
  <pivotFields count="10">
    <pivotField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showAll="0">
      <items count="26">
        <item x="17"/>
        <item x="6"/>
        <item x="10"/>
        <item x="20"/>
        <item x="13"/>
        <item x="0"/>
        <item x="15"/>
        <item x="7"/>
        <item x="11"/>
        <item x="21"/>
        <item x="3"/>
        <item x="18"/>
        <item x="1"/>
        <item x="16"/>
        <item x="24"/>
        <item x="9"/>
        <item x="4"/>
        <item x="2"/>
        <item x="12"/>
        <item x="22"/>
        <item x="14"/>
        <item x="19"/>
        <item x="8"/>
        <item x="5"/>
        <item x="23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dataField="1" showAll="0"/>
    <pivotField dataField="1" showAll="0"/>
    <pivotField showAll="0">
      <items count="3">
        <item x="1"/>
        <item x="0"/>
        <item t="default"/>
      </items>
    </pivotField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V_Received" fld="4" baseField="0" baseItem="0"/>
    <dataField name="Sum of Interviewed" fld="6" baseField="0" baseItem="0"/>
    <dataField name="Sum of Offered" fld="7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5718A-7BB2-4852-883A-53F0F7C61FE7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12:D16" firstHeaderRow="0" firstDataRow="1" firstDataCol="1"/>
  <pivotFields count="10">
    <pivotField dataField="1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Req_ID" fld="0" subtotal="count" baseField="0" baseItem="0"/>
    <dataField name="Count of Offer_Accepted" fld="8" subtotal="count" baseField="0" baseItem="0"/>
    <dataField name="Sum of CV_Received" fld="4" baseField="0" baseItem="0"/>
  </dataFields>
  <chartFormats count="6">
    <chartFormat chart="3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CAFE81-F198-44CD-9B09-9E469CA4A68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7" firstHeaderRow="0" firstDataRow="1" firstDataCol="1"/>
  <pivotFields count="10">
    <pivotField dataField="1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q_ID" fld="0" subtotal="count" baseField="0" baseItem="0"/>
    <dataField name="Average of Days_to_Hire" fld="9" subtotal="average" baseField="2" baseItem="0" numFmtId="2"/>
  </dataFields>
  <chartFormats count="4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zoomScale="145" zoomScaleNormal="145" workbookViewId="0">
      <selection activeCell="L6" sqref="L6"/>
    </sheetView>
  </sheetViews>
  <sheetFormatPr defaultRowHeight="15" x14ac:dyDescent="0.25"/>
  <cols>
    <col min="1" max="1" width="7.5703125" bestFit="1" customWidth="1"/>
    <col min="2" max="2" width="19.140625" bestFit="1" customWidth="1"/>
    <col min="4" max="4" width="8.5703125" bestFit="1" customWidth="1"/>
    <col min="5" max="5" width="12.5703125" bestFit="1" customWidth="1"/>
    <col min="6" max="6" width="9.28515625" bestFit="1" customWidth="1"/>
    <col min="7" max="7" width="11.85546875" bestFit="1" customWidth="1"/>
    <col min="9" max="9" width="15.140625" bestFit="1" customWidth="1"/>
    <col min="10" max="10" width="12.7109375" bestFit="1" customWidth="1"/>
    <col min="11" max="11" width="21" bestFit="1" customWidth="1"/>
    <col min="12" max="12" width="10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25">
      <c r="A2" t="s">
        <v>10</v>
      </c>
      <c r="B2" t="s">
        <v>11</v>
      </c>
      <c r="C2" t="s">
        <v>12</v>
      </c>
      <c r="D2" t="s">
        <v>13</v>
      </c>
      <c r="E2">
        <v>30</v>
      </c>
      <c r="F2">
        <v>20</v>
      </c>
      <c r="G2">
        <v>10</v>
      </c>
      <c r="H2">
        <v>3</v>
      </c>
      <c r="I2" t="s">
        <v>14</v>
      </c>
      <c r="J2">
        <v>32</v>
      </c>
      <c r="K2" s="1" t="s">
        <v>68</v>
      </c>
      <c r="L2" s="1">
        <f>COUNTA(A2:A26)</f>
        <v>25</v>
      </c>
    </row>
    <row r="3" spans="1:12" x14ac:dyDescent="0.25">
      <c r="A3" t="s">
        <v>15</v>
      </c>
      <c r="B3" t="s">
        <v>16</v>
      </c>
      <c r="C3" t="s">
        <v>17</v>
      </c>
      <c r="D3" t="s">
        <v>18</v>
      </c>
      <c r="E3">
        <v>45</v>
      </c>
      <c r="F3">
        <v>30</v>
      </c>
      <c r="G3">
        <v>15</v>
      </c>
      <c r="H3">
        <v>4</v>
      </c>
      <c r="I3" t="s">
        <v>19</v>
      </c>
      <c r="J3">
        <v>45</v>
      </c>
      <c r="K3" s="1" t="s">
        <v>69</v>
      </c>
      <c r="L3" s="1">
        <f>COUNTIF(I2:I26,"Yes")</f>
        <v>17</v>
      </c>
    </row>
    <row r="4" spans="1:12" x14ac:dyDescent="0.25">
      <c r="A4" t="s">
        <v>20</v>
      </c>
      <c r="B4" t="s">
        <v>21</v>
      </c>
      <c r="C4" t="s">
        <v>22</v>
      </c>
      <c r="D4" t="s">
        <v>23</v>
      </c>
      <c r="E4">
        <v>20</v>
      </c>
      <c r="F4">
        <v>15</v>
      </c>
      <c r="G4">
        <v>8</v>
      </c>
      <c r="H4">
        <v>2</v>
      </c>
      <c r="I4" t="s">
        <v>14</v>
      </c>
      <c r="J4">
        <v>28</v>
      </c>
      <c r="K4" s="1" t="s">
        <v>70</v>
      </c>
      <c r="L4" s="1">
        <f>COUNT(H2:H26)</f>
        <v>25</v>
      </c>
    </row>
    <row r="5" spans="1:12" x14ac:dyDescent="0.25">
      <c r="A5" t="s">
        <v>24</v>
      </c>
      <c r="B5" t="s">
        <v>25</v>
      </c>
      <c r="C5" t="s">
        <v>12</v>
      </c>
      <c r="D5" t="s">
        <v>13</v>
      </c>
      <c r="E5">
        <v>25</v>
      </c>
      <c r="F5">
        <v>18</v>
      </c>
      <c r="G5">
        <v>9</v>
      </c>
      <c r="H5">
        <v>3</v>
      </c>
      <c r="I5" t="s">
        <v>14</v>
      </c>
      <c r="J5">
        <v>30</v>
      </c>
      <c r="K5" s="1" t="s">
        <v>71</v>
      </c>
      <c r="L5" s="2">
        <f>L3/L4</f>
        <v>0.68</v>
      </c>
    </row>
    <row r="6" spans="1:12" x14ac:dyDescent="0.25">
      <c r="A6" t="s">
        <v>26</v>
      </c>
      <c r="B6" t="s">
        <v>27</v>
      </c>
      <c r="C6" t="s">
        <v>17</v>
      </c>
      <c r="D6" t="s">
        <v>18</v>
      </c>
      <c r="E6">
        <v>50</v>
      </c>
      <c r="F6">
        <v>35</v>
      </c>
      <c r="G6">
        <v>18</v>
      </c>
      <c r="H6">
        <v>5</v>
      </c>
      <c r="I6" t="s">
        <v>19</v>
      </c>
      <c r="J6">
        <v>55</v>
      </c>
      <c r="K6" s="1" t="s">
        <v>72</v>
      </c>
      <c r="L6" s="3">
        <f>AVERAGE(J2:J26)</f>
        <v>40.36</v>
      </c>
    </row>
    <row r="7" spans="1:12" x14ac:dyDescent="0.25">
      <c r="A7" t="s">
        <v>28</v>
      </c>
      <c r="B7" t="s">
        <v>29</v>
      </c>
      <c r="C7" t="s">
        <v>22</v>
      </c>
      <c r="D7" t="s">
        <v>23</v>
      </c>
      <c r="E7">
        <v>22</v>
      </c>
      <c r="F7">
        <v>16</v>
      </c>
      <c r="G7">
        <v>7</v>
      </c>
      <c r="H7">
        <v>2</v>
      </c>
      <c r="I7" t="s">
        <v>14</v>
      </c>
      <c r="J7">
        <v>26</v>
      </c>
    </row>
    <row r="8" spans="1:12" x14ac:dyDescent="0.25">
      <c r="A8" t="s">
        <v>30</v>
      </c>
      <c r="B8" t="s">
        <v>31</v>
      </c>
      <c r="C8" t="s">
        <v>12</v>
      </c>
      <c r="D8" t="s">
        <v>13</v>
      </c>
      <c r="E8">
        <v>28</v>
      </c>
      <c r="F8">
        <v>20</v>
      </c>
      <c r="G8">
        <v>10</v>
      </c>
      <c r="H8">
        <v>3</v>
      </c>
      <c r="I8" t="s">
        <v>14</v>
      </c>
      <c r="J8">
        <v>34</v>
      </c>
    </row>
    <row r="9" spans="1:12" x14ac:dyDescent="0.25">
      <c r="A9" t="s">
        <v>32</v>
      </c>
      <c r="B9" t="s">
        <v>33</v>
      </c>
      <c r="C9" t="s">
        <v>17</v>
      </c>
      <c r="D9" t="s">
        <v>18</v>
      </c>
      <c r="E9">
        <v>48</v>
      </c>
      <c r="F9">
        <v>32</v>
      </c>
      <c r="G9">
        <v>14</v>
      </c>
      <c r="H9">
        <v>4</v>
      </c>
      <c r="I9" t="s">
        <v>19</v>
      </c>
      <c r="J9">
        <v>50</v>
      </c>
    </row>
    <row r="10" spans="1:12" x14ac:dyDescent="0.25">
      <c r="A10" t="s">
        <v>34</v>
      </c>
      <c r="B10" t="s">
        <v>35</v>
      </c>
      <c r="C10" t="s">
        <v>22</v>
      </c>
      <c r="D10" t="s">
        <v>23</v>
      </c>
      <c r="E10">
        <v>18</v>
      </c>
      <c r="F10">
        <v>14</v>
      </c>
      <c r="G10">
        <v>6</v>
      </c>
      <c r="H10">
        <v>2</v>
      </c>
      <c r="I10" t="s">
        <v>14</v>
      </c>
      <c r="J10">
        <v>24</v>
      </c>
    </row>
    <row r="11" spans="1:12" x14ac:dyDescent="0.25">
      <c r="A11" t="s">
        <v>36</v>
      </c>
      <c r="B11" t="s">
        <v>37</v>
      </c>
      <c r="C11" t="s">
        <v>12</v>
      </c>
      <c r="D11" t="s">
        <v>13</v>
      </c>
      <c r="E11">
        <v>35</v>
      </c>
      <c r="F11">
        <v>25</v>
      </c>
      <c r="G11">
        <v>12</v>
      </c>
      <c r="H11">
        <v>3</v>
      </c>
      <c r="I11" t="s">
        <v>14</v>
      </c>
      <c r="J11">
        <v>38</v>
      </c>
    </row>
    <row r="12" spans="1:12" x14ac:dyDescent="0.25">
      <c r="A12" t="s">
        <v>38</v>
      </c>
      <c r="B12" t="s">
        <v>39</v>
      </c>
      <c r="C12" t="s">
        <v>17</v>
      </c>
      <c r="D12" t="s">
        <v>18</v>
      </c>
      <c r="E12">
        <v>55</v>
      </c>
      <c r="F12">
        <v>40</v>
      </c>
      <c r="G12">
        <v>20</v>
      </c>
      <c r="H12">
        <v>5</v>
      </c>
      <c r="I12" t="s">
        <v>19</v>
      </c>
      <c r="J12">
        <v>60</v>
      </c>
    </row>
    <row r="13" spans="1:12" x14ac:dyDescent="0.25">
      <c r="A13" t="s">
        <v>40</v>
      </c>
      <c r="B13" t="s">
        <v>41</v>
      </c>
      <c r="C13" t="s">
        <v>22</v>
      </c>
      <c r="D13" t="s">
        <v>23</v>
      </c>
      <c r="E13">
        <v>26</v>
      </c>
      <c r="F13">
        <v>19</v>
      </c>
      <c r="G13">
        <v>9</v>
      </c>
      <c r="H13">
        <v>3</v>
      </c>
      <c r="I13" t="s">
        <v>14</v>
      </c>
      <c r="J13">
        <v>29</v>
      </c>
    </row>
    <row r="14" spans="1:12" x14ac:dyDescent="0.25">
      <c r="A14" t="s">
        <v>42</v>
      </c>
      <c r="B14" t="s">
        <v>43</v>
      </c>
      <c r="C14" t="s">
        <v>12</v>
      </c>
      <c r="D14" t="s">
        <v>13</v>
      </c>
      <c r="E14">
        <v>24</v>
      </c>
      <c r="F14">
        <v>18</v>
      </c>
      <c r="G14">
        <v>8</v>
      </c>
      <c r="H14">
        <v>2</v>
      </c>
      <c r="I14" t="s">
        <v>14</v>
      </c>
      <c r="J14">
        <v>31</v>
      </c>
    </row>
    <row r="15" spans="1:12" x14ac:dyDescent="0.25">
      <c r="A15" t="s">
        <v>44</v>
      </c>
      <c r="B15" t="s">
        <v>45</v>
      </c>
      <c r="C15" t="s">
        <v>17</v>
      </c>
      <c r="D15" t="s">
        <v>18</v>
      </c>
      <c r="E15">
        <v>60</v>
      </c>
      <c r="F15">
        <v>45</v>
      </c>
      <c r="G15">
        <v>22</v>
      </c>
      <c r="H15">
        <v>6</v>
      </c>
      <c r="I15" t="s">
        <v>19</v>
      </c>
      <c r="J15">
        <v>62</v>
      </c>
    </row>
    <row r="16" spans="1:12" x14ac:dyDescent="0.25">
      <c r="A16" t="s">
        <v>46</v>
      </c>
      <c r="B16" t="s">
        <v>47</v>
      </c>
      <c r="C16" t="s">
        <v>22</v>
      </c>
      <c r="D16" t="s">
        <v>23</v>
      </c>
      <c r="E16">
        <v>20</v>
      </c>
      <c r="F16">
        <v>15</v>
      </c>
      <c r="G16">
        <v>7</v>
      </c>
      <c r="H16">
        <v>2</v>
      </c>
      <c r="I16" t="s">
        <v>14</v>
      </c>
      <c r="J16">
        <v>27</v>
      </c>
    </row>
    <row r="17" spans="1:10" x14ac:dyDescent="0.25">
      <c r="A17" t="s">
        <v>48</v>
      </c>
      <c r="B17" t="s">
        <v>49</v>
      </c>
      <c r="C17" t="s">
        <v>12</v>
      </c>
      <c r="D17" t="s">
        <v>13</v>
      </c>
      <c r="E17">
        <v>40</v>
      </c>
      <c r="F17">
        <v>28</v>
      </c>
      <c r="G17">
        <v>14</v>
      </c>
      <c r="H17">
        <v>4</v>
      </c>
      <c r="I17" t="s">
        <v>14</v>
      </c>
      <c r="J17">
        <v>42</v>
      </c>
    </row>
    <row r="18" spans="1:10" x14ac:dyDescent="0.25">
      <c r="A18" t="s">
        <v>50</v>
      </c>
      <c r="B18" t="s">
        <v>51</v>
      </c>
      <c r="C18" t="s">
        <v>17</v>
      </c>
      <c r="D18" t="s">
        <v>18</v>
      </c>
      <c r="E18">
        <v>58</v>
      </c>
      <c r="F18">
        <v>42</v>
      </c>
      <c r="G18">
        <v>21</v>
      </c>
      <c r="H18">
        <v>5</v>
      </c>
      <c r="I18" t="s">
        <v>19</v>
      </c>
      <c r="J18">
        <v>65</v>
      </c>
    </row>
    <row r="19" spans="1:10" x14ac:dyDescent="0.25">
      <c r="A19" t="s">
        <v>52</v>
      </c>
      <c r="B19" t="s">
        <v>53</v>
      </c>
      <c r="C19" t="s">
        <v>22</v>
      </c>
      <c r="D19" t="s">
        <v>23</v>
      </c>
      <c r="E19">
        <v>23</v>
      </c>
      <c r="F19">
        <v>17</v>
      </c>
      <c r="G19">
        <v>8</v>
      </c>
      <c r="H19">
        <v>2</v>
      </c>
      <c r="I19" t="s">
        <v>14</v>
      </c>
      <c r="J19">
        <v>28</v>
      </c>
    </row>
    <row r="20" spans="1:10" x14ac:dyDescent="0.25">
      <c r="A20" t="s">
        <v>54</v>
      </c>
      <c r="B20" t="s">
        <v>55</v>
      </c>
      <c r="C20" t="s">
        <v>12</v>
      </c>
      <c r="D20" t="s">
        <v>13</v>
      </c>
      <c r="E20">
        <v>27</v>
      </c>
      <c r="F20">
        <v>19</v>
      </c>
      <c r="G20">
        <v>9</v>
      </c>
      <c r="H20">
        <v>3</v>
      </c>
      <c r="I20" t="s">
        <v>14</v>
      </c>
      <c r="J20">
        <v>33</v>
      </c>
    </row>
    <row r="21" spans="1:10" x14ac:dyDescent="0.25">
      <c r="A21" t="s">
        <v>56</v>
      </c>
      <c r="B21" t="s">
        <v>57</v>
      </c>
      <c r="C21" t="s">
        <v>17</v>
      </c>
      <c r="D21" t="s">
        <v>18</v>
      </c>
      <c r="E21">
        <v>62</v>
      </c>
      <c r="F21">
        <v>48</v>
      </c>
      <c r="G21">
        <v>24</v>
      </c>
      <c r="H21">
        <v>6</v>
      </c>
      <c r="I21" t="s">
        <v>19</v>
      </c>
      <c r="J21">
        <v>70</v>
      </c>
    </row>
    <row r="22" spans="1:10" x14ac:dyDescent="0.25">
      <c r="A22" t="s">
        <v>58</v>
      </c>
      <c r="B22" t="s">
        <v>59</v>
      </c>
      <c r="C22" t="s">
        <v>22</v>
      </c>
      <c r="D22" t="s">
        <v>23</v>
      </c>
      <c r="E22">
        <v>25</v>
      </c>
      <c r="F22">
        <v>18</v>
      </c>
      <c r="G22">
        <v>9</v>
      </c>
      <c r="H22">
        <v>2</v>
      </c>
      <c r="I22" t="s">
        <v>14</v>
      </c>
      <c r="J22">
        <v>30</v>
      </c>
    </row>
    <row r="23" spans="1:10" x14ac:dyDescent="0.25">
      <c r="A23" t="s">
        <v>60</v>
      </c>
      <c r="B23" t="s">
        <v>61</v>
      </c>
      <c r="C23" t="s">
        <v>12</v>
      </c>
      <c r="D23" t="s">
        <v>13</v>
      </c>
      <c r="E23">
        <v>44</v>
      </c>
      <c r="F23">
        <v>32</v>
      </c>
      <c r="G23">
        <v>16</v>
      </c>
      <c r="H23">
        <v>4</v>
      </c>
      <c r="I23" t="s">
        <v>14</v>
      </c>
      <c r="J23">
        <v>46</v>
      </c>
    </row>
    <row r="24" spans="1:10" x14ac:dyDescent="0.25">
      <c r="A24" t="s">
        <v>62</v>
      </c>
      <c r="B24" t="s">
        <v>63</v>
      </c>
      <c r="C24" t="s">
        <v>17</v>
      </c>
      <c r="D24" t="s">
        <v>18</v>
      </c>
      <c r="E24">
        <v>52</v>
      </c>
      <c r="F24">
        <v>38</v>
      </c>
      <c r="G24">
        <v>19</v>
      </c>
      <c r="H24">
        <v>5</v>
      </c>
      <c r="I24" t="s">
        <v>19</v>
      </c>
      <c r="J24">
        <v>58</v>
      </c>
    </row>
    <row r="25" spans="1:10" x14ac:dyDescent="0.25">
      <c r="A25" t="s">
        <v>64</v>
      </c>
      <c r="B25" t="s">
        <v>65</v>
      </c>
      <c r="C25" t="s">
        <v>22</v>
      </c>
      <c r="D25" t="s">
        <v>23</v>
      </c>
      <c r="E25">
        <v>21</v>
      </c>
      <c r="F25">
        <v>16</v>
      </c>
      <c r="G25">
        <v>7</v>
      </c>
      <c r="H25">
        <v>2</v>
      </c>
      <c r="I25" t="s">
        <v>14</v>
      </c>
      <c r="J25">
        <v>26</v>
      </c>
    </row>
    <row r="26" spans="1:10" x14ac:dyDescent="0.25">
      <c r="A26" t="s">
        <v>66</v>
      </c>
      <c r="B26" t="s">
        <v>67</v>
      </c>
      <c r="C26" t="s">
        <v>12</v>
      </c>
      <c r="D26" t="s">
        <v>13</v>
      </c>
      <c r="E26">
        <v>36</v>
      </c>
      <c r="F26">
        <v>26</v>
      </c>
      <c r="G26">
        <v>13</v>
      </c>
      <c r="H26">
        <v>3</v>
      </c>
      <c r="I26" t="s">
        <v>14</v>
      </c>
      <c r="J26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4BCA-9084-49FF-95C9-DE3A57165902}">
  <dimension ref="A3:D47"/>
  <sheetViews>
    <sheetView topLeftCell="A20" workbookViewId="0">
      <selection activeCell="A21" sqref="A21:D47"/>
    </sheetView>
  </sheetViews>
  <sheetFormatPr defaultRowHeight="15" x14ac:dyDescent="0.25"/>
  <cols>
    <col min="1" max="1" width="19.140625" bestFit="1" customWidth="1"/>
    <col min="2" max="2" width="19.42578125" bestFit="1" customWidth="1"/>
    <col min="3" max="3" width="18.7109375" bestFit="1" customWidth="1"/>
    <col min="4" max="4" width="14.7109375" bestFit="1" customWidth="1"/>
    <col min="5" max="5" width="15.85546875" bestFit="1" customWidth="1"/>
    <col min="6" max="6" width="14.5703125" bestFit="1" customWidth="1"/>
    <col min="7" max="7" width="12" bestFit="1" customWidth="1"/>
    <col min="8" max="8" width="13.42578125" bestFit="1" customWidth="1"/>
    <col min="9" max="9" width="16.28515625" bestFit="1" customWidth="1"/>
    <col min="10" max="10" width="19.140625" bestFit="1" customWidth="1"/>
    <col min="11" max="11" width="13.28515625" bestFit="1" customWidth="1"/>
    <col min="12" max="12" width="10.42578125" bestFit="1" customWidth="1"/>
    <col min="13" max="13" width="5.7109375" bestFit="1" customWidth="1"/>
    <col min="14" max="14" width="14.5703125" bestFit="1" customWidth="1"/>
    <col min="15" max="15" width="12" bestFit="1" customWidth="1"/>
    <col min="16" max="16" width="15.42578125" bestFit="1" customWidth="1"/>
    <col min="17" max="17" width="15" bestFit="1" customWidth="1"/>
    <col min="18" max="18" width="17.28515625" bestFit="1" customWidth="1"/>
    <col min="19" max="19" width="12" bestFit="1" customWidth="1"/>
    <col min="20" max="20" width="13.28515625" bestFit="1" customWidth="1"/>
    <col min="21" max="21" width="15.28515625" bestFit="1" customWidth="1"/>
    <col min="22" max="22" width="15.140625" bestFit="1" customWidth="1"/>
    <col min="23" max="23" width="9.7109375" bestFit="1" customWidth="1"/>
    <col min="24" max="24" width="6.5703125" bestFit="1" customWidth="1"/>
    <col min="25" max="25" width="12.7109375" bestFit="1" customWidth="1"/>
    <col min="26" max="26" width="11.85546875" bestFit="1" customWidth="1"/>
    <col min="27" max="27" width="18.7109375" bestFit="1" customWidth="1"/>
    <col min="28" max="28" width="3.42578125" bestFit="1" customWidth="1"/>
    <col min="29" max="29" width="18.42578125" bestFit="1" customWidth="1"/>
    <col min="30" max="30" width="15.85546875" bestFit="1" customWidth="1"/>
    <col min="31" max="31" width="14.5703125" bestFit="1" customWidth="1"/>
    <col min="32" max="32" width="12" bestFit="1" customWidth="1"/>
    <col min="33" max="33" width="13.42578125" bestFit="1" customWidth="1"/>
    <col min="34" max="34" width="16.28515625" bestFit="1" customWidth="1"/>
    <col min="35" max="35" width="19.140625" bestFit="1" customWidth="1"/>
    <col min="36" max="36" width="13.28515625" bestFit="1" customWidth="1"/>
    <col min="37" max="37" width="10.42578125" bestFit="1" customWidth="1"/>
    <col min="38" max="38" width="5.7109375" bestFit="1" customWidth="1"/>
    <col min="39" max="39" width="14.5703125" bestFit="1" customWidth="1"/>
    <col min="40" max="40" width="12" bestFit="1" customWidth="1"/>
    <col min="41" max="41" width="15.42578125" bestFit="1" customWidth="1"/>
    <col min="42" max="42" width="15" bestFit="1" customWidth="1"/>
    <col min="43" max="43" width="17.28515625" bestFit="1" customWidth="1"/>
    <col min="44" max="44" width="12" bestFit="1" customWidth="1"/>
    <col min="45" max="45" width="13.28515625" bestFit="1" customWidth="1"/>
    <col min="46" max="46" width="15.28515625" bestFit="1" customWidth="1"/>
    <col min="47" max="47" width="15.140625" bestFit="1" customWidth="1"/>
    <col min="48" max="48" width="9.7109375" bestFit="1" customWidth="1"/>
    <col min="49" max="49" width="6.5703125" bestFit="1" customWidth="1"/>
    <col min="50" max="50" width="12.7109375" bestFit="1" customWidth="1"/>
    <col min="51" max="51" width="11.85546875" bestFit="1" customWidth="1"/>
    <col min="52" max="52" width="17.85546875" bestFit="1" customWidth="1"/>
    <col min="53" max="53" width="3.42578125" bestFit="1" customWidth="1"/>
    <col min="54" max="54" width="18.42578125" bestFit="1" customWidth="1"/>
    <col min="55" max="55" width="15.85546875" bestFit="1" customWidth="1"/>
    <col min="56" max="56" width="14.5703125" bestFit="1" customWidth="1"/>
    <col min="57" max="57" width="12" bestFit="1" customWidth="1"/>
    <col min="58" max="58" width="13.42578125" bestFit="1" customWidth="1"/>
    <col min="59" max="59" width="16.28515625" bestFit="1" customWidth="1"/>
    <col min="60" max="60" width="19.140625" bestFit="1" customWidth="1"/>
    <col min="61" max="61" width="13.28515625" bestFit="1" customWidth="1"/>
    <col min="62" max="62" width="10.42578125" bestFit="1" customWidth="1"/>
    <col min="63" max="63" width="5.7109375" bestFit="1" customWidth="1"/>
    <col min="64" max="64" width="14.5703125" bestFit="1" customWidth="1"/>
    <col min="65" max="65" width="12" bestFit="1" customWidth="1"/>
    <col min="66" max="66" width="15.42578125" bestFit="1" customWidth="1"/>
    <col min="67" max="67" width="15" bestFit="1" customWidth="1"/>
    <col min="68" max="68" width="17.28515625" bestFit="1" customWidth="1"/>
    <col min="69" max="69" width="12" bestFit="1" customWidth="1"/>
    <col min="70" max="70" width="13.28515625" bestFit="1" customWidth="1"/>
    <col min="71" max="71" width="15.28515625" bestFit="1" customWidth="1"/>
    <col min="72" max="72" width="15.140625" bestFit="1" customWidth="1"/>
    <col min="73" max="73" width="9.7109375" bestFit="1" customWidth="1"/>
    <col min="74" max="74" width="6.5703125" bestFit="1" customWidth="1"/>
    <col min="75" max="75" width="12.7109375" bestFit="1" customWidth="1"/>
    <col min="76" max="76" width="11.85546875" bestFit="1" customWidth="1"/>
    <col min="77" max="77" width="24.42578125" bestFit="1" customWidth="1"/>
    <col min="78" max="78" width="23.7109375" bestFit="1" customWidth="1"/>
    <col min="79" max="79" width="19.7109375" bestFit="1" customWidth="1"/>
  </cols>
  <sheetData>
    <row r="3" spans="1:4" x14ac:dyDescent="0.25">
      <c r="A3" s="4" t="s">
        <v>73</v>
      </c>
      <c r="B3" t="s">
        <v>75</v>
      </c>
      <c r="C3" t="s">
        <v>76</v>
      </c>
    </row>
    <row r="4" spans="1:4" x14ac:dyDescent="0.25">
      <c r="A4" s="5" t="s">
        <v>12</v>
      </c>
      <c r="B4" s="6">
        <v>9</v>
      </c>
      <c r="C4" s="7">
        <v>36.222222222222221</v>
      </c>
    </row>
    <row r="5" spans="1:4" x14ac:dyDescent="0.25">
      <c r="A5" s="5" t="s">
        <v>17</v>
      </c>
      <c r="B5" s="6">
        <v>8</v>
      </c>
      <c r="C5" s="7">
        <v>58.125</v>
      </c>
    </row>
    <row r="6" spans="1:4" x14ac:dyDescent="0.25">
      <c r="A6" s="5" t="s">
        <v>22</v>
      </c>
      <c r="B6" s="6">
        <v>8</v>
      </c>
      <c r="C6" s="7">
        <v>27.25</v>
      </c>
    </row>
    <row r="7" spans="1:4" x14ac:dyDescent="0.25">
      <c r="A7" s="5" t="s">
        <v>74</v>
      </c>
      <c r="B7" s="6">
        <v>25</v>
      </c>
      <c r="C7" s="7">
        <v>40.36</v>
      </c>
    </row>
    <row r="12" spans="1:4" x14ac:dyDescent="0.25">
      <c r="A12" s="4" t="s">
        <v>73</v>
      </c>
      <c r="B12" t="s">
        <v>75</v>
      </c>
      <c r="C12" t="s">
        <v>77</v>
      </c>
      <c r="D12" t="s">
        <v>78</v>
      </c>
    </row>
    <row r="13" spans="1:4" x14ac:dyDescent="0.25">
      <c r="A13" s="5" t="s">
        <v>13</v>
      </c>
      <c r="B13" s="6">
        <v>9</v>
      </c>
      <c r="C13" s="6">
        <v>9</v>
      </c>
      <c r="D13" s="6">
        <v>289</v>
      </c>
    </row>
    <row r="14" spans="1:4" x14ac:dyDescent="0.25">
      <c r="A14" s="5" t="s">
        <v>18</v>
      </c>
      <c r="B14" s="6">
        <v>8</v>
      </c>
      <c r="C14" s="6">
        <v>8</v>
      </c>
      <c r="D14" s="6">
        <v>430</v>
      </c>
    </row>
    <row r="15" spans="1:4" x14ac:dyDescent="0.25">
      <c r="A15" s="5" t="s">
        <v>23</v>
      </c>
      <c r="B15" s="6">
        <v>8</v>
      </c>
      <c r="C15" s="6">
        <v>8</v>
      </c>
      <c r="D15" s="6">
        <v>175</v>
      </c>
    </row>
    <row r="16" spans="1:4" x14ac:dyDescent="0.25">
      <c r="A16" s="5" t="s">
        <v>74</v>
      </c>
      <c r="B16" s="6">
        <v>25</v>
      </c>
      <c r="C16" s="6">
        <v>25</v>
      </c>
      <c r="D16" s="6">
        <v>894</v>
      </c>
    </row>
    <row r="21" spans="1:4" x14ac:dyDescent="0.25">
      <c r="A21" s="4" t="s">
        <v>73</v>
      </c>
      <c r="B21" t="s">
        <v>78</v>
      </c>
      <c r="C21" t="s">
        <v>79</v>
      </c>
      <c r="D21" t="s">
        <v>80</v>
      </c>
    </row>
    <row r="22" spans="1:4" x14ac:dyDescent="0.25">
      <c r="A22" s="5" t="s">
        <v>53</v>
      </c>
      <c r="B22" s="6">
        <v>23</v>
      </c>
      <c r="C22" s="6">
        <v>8</v>
      </c>
      <c r="D22" s="6">
        <v>2</v>
      </c>
    </row>
    <row r="23" spans="1:4" x14ac:dyDescent="0.25">
      <c r="A23" s="5" t="s">
        <v>31</v>
      </c>
      <c r="B23" s="6">
        <v>28</v>
      </c>
      <c r="C23" s="6">
        <v>10</v>
      </c>
      <c r="D23" s="6">
        <v>3</v>
      </c>
    </row>
    <row r="24" spans="1:4" x14ac:dyDescent="0.25">
      <c r="A24" s="5" t="s">
        <v>39</v>
      </c>
      <c r="B24" s="6">
        <v>55</v>
      </c>
      <c r="C24" s="6">
        <v>20</v>
      </c>
      <c r="D24" s="6">
        <v>5</v>
      </c>
    </row>
    <row r="25" spans="1:4" x14ac:dyDescent="0.25">
      <c r="A25" s="5" t="s">
        <v>59</v>
      </c>
      <c r="B25" s="6">
        <v>25</v>
      </c>
      <c r="C25" s="6">
        <v>9</v>
      </c>
      <c r="D25" s="6">
        <v>2</v>
      </c>
    </row>
    <row r="26" spans="1:4" x14ac:dyDescent="0.25">
      <c r="A26" s="5" t="s">
        <v>45</v>
      </c>
      <c r="B26" s="6">
        <v>60</v>
      </c>
      <c r="C26" s="6">
        <v>22</v>
      </c>
      <c r="D26" s="6">
        <v>6</v>
      </c>
    </row>
    <row r="27" spans="1:4" x14ac:dyDescent="0.25">
      <c r="A27" s="5" t="s">
        <v>11</v>
      </c>
      <c r="B27" s="6">
        <v>30</v>
      </c>
      <c r="C27" s="6">
        <v>10</v>
      </c>
      <c r="D27" s="6">
        <v>3</v>
      </c>
    </row>
    <row r="28" spans="1:4" x14ac:dyDescent="0.25">
      <c r="A28" s="5" t="s">
        <v>49</v>
      </c>
      <c r="B28" s="6">
        <v>40</v>
      </c>
      <c r="C28" s="6">
        <v>14</v>
      </c>
      <c r="D28" s="6">
        <v>4</v>
      </c>
    </row>
    <row r="29" spans="1:4" x14ac:dyDescent="0.25">
      <c r="A29" s="5" t="s">
        <v>33</v>
      </c>
      <c r="B29" s="6">
        <v>48</v>
      </c>
      <c r="C29" s="6">
        <v>14</v>
      </c>
      <c r="D29" s="6">
        <v>4</v>
      </c>
    </row>
    <row r="30" spans="1:4" x14ac:dyDescent="0.25">
      <c r="A30" s="5" t="s">
        <v>41</v>
      </c>
      <c r="B30" s="6">
        <v>26</v>
      </c>
      <c r="C30" s="6">
        <v>9</v>
      </c>
      <c r="D30" s="6">
        <v>3</v>
      </c>
    </row>
    <row r="31" spans="1:4" x14ac:dyDescent="0.25">
      <c r="A31" s="5" t="s">
        <v>61</v>
      </c>
      <c r="B31" s="6">
        <v>44</v>
      </c>
      <c r="C31" s="6">
        <v>16</v>
      </c>
      <c r="D31" s="6">
        <v>4</v>
      </c>
    </row>
    <row r="32" spans="1:4" x14ac:dyDescent="0.25">
      <c r="A32" s="5" t="s">
        <v>25</v>
      </c>
      <c r="B32" s="6">
        <v>25</v>
      </c>
      <c r="C32" s="6">
        <v>9</v>
      </c>
      <c r="D32" s="6">
        <v>3</v>
      </c>
    </row>
    <row r="33" spans="1:4" x14ac:dyDescent="0.25">
      <c r="A33" s="5" t="s">
        <v>55</v>
      </c>
      <c r="B33" s="6">
        <v>27</v>
      </c>
      <c r="C33" s="6">
        <v>9</v>
      </c>
      <c r="D33" s="6">
        <v>3</v>
      </c>
    </row>
    <row r="34" spans="1:4" x14ac:dyDescent="0.25">
      <c r="A34" s="5" t="s">
        <v>16</v>
      </c>
      <c r="B34" s="6">
        <v>45</v>
      </c>
      <c r="C34" s="6">
        <v>15</v>
      </c>
      <c r="D34" s="6">
        <v>4</v>
      </c>
    </row>
    <row r="35" spans="1:4" x14ac:dyDescent="0.25">
      <c r="A35" s="5" t="s">
        <v>51</v>
      </c>
      <c r="B35" s="6">
        <v>58</v>
      </c>
      <c r="C35" s="6">
        <v>21</v>
      </c>
      <c r="D35" s="6">
        <v>5</v>
      </c>
    </row>
    <row r="36" spans="1:4" x14ac:dyDescent="0.25">
      <c r="A36" s="5" t="s">
        <v>67</v>
      </c>
      <c r="B36" s="6">
        <v>36</v>
      </c>
      <c r="C36" s="6">
        <v>13</v>
      </c>
      <c r="D36" s="6">
        <v>3</v>
      </c>
    </row>
    <row r="37" spans="1:4" x14ac:dyDescent="0.25">
      <c r="A37" s="5" t="s">
        <v>37</v>
      </c>
      <c r="B37" s="6">
        <v>35</v>
      </c>
      <c r="C37" s="6">
        <v>12</v>
      </c>
      <c r="D37" s="6">
        <v>3</v>
      </c>
    </row>
    <row r="38" spans="1:4" x14ac:dyDescent="0.25">
      <c r="A38" s="5" t="s">
        <v>27</v>
      </c>
      <c r="B38" s="6">
        <v>50</v>
      </c>
      <c r="C38" s="6">
        <v>18</v>
      </c>
      <c r="D38" s="6">
        <v>5</v>
      </c>
    </row>
    <row r="39" spans="1:4" x14ac:dyDescent="0.25">
      <c r="A39" s="5" t="s">
        <v>21</v>
      </c>
      <c r="B39" s="6">
        <v>20</v>
      </c>
      <c r="C39" s="6">
        <v>8</v>
      </c>
      <c r="D39" s="6">
        <v>2</v>
      </c>
    </row>
    <row r="40" spans="1:4" x14ac:dyDescent="0.25">
      <c r="A40" s="5" t="s">
        <v>43</v>
      </c>
      <c r="B40" s="6">
        <v>24</v>
      </c>
      <c r="C40" s="6">
        <v>8</v>
      </c>
      <c r="D40" s="6">
        <v>2</v>
      </c>
    </row>
    <row r="41" spans="1:4" x14ac:dyDescent="0.25">
      <c r="A41" s="5" t="s">
        <v>63</v>
      </c>
      <c r="B41" s="6">
        <v>52</v>
      </c>
      <c r="C41" s="6">
        <v>19</v>
      </c>
      <c r="D41" s="6">
        <v>5</v>
      </c>
    </row>
    <row r="42" spans="1:4" x14ac:dyDescent="0.25">
      <c r="A42" s="5" t="s">
        <v>47</v>
      </c>
      <c r="B42" s="6">
        <v>20</v>
      </c>
      <c r="C42" s="6">
        <v>7</v>
      </c>
      <c r="D42" s="6">
        <v>2</v>
      </c>
    </row>
    <row r="43" spans="1:4" x14ac:dyDescent="0.25">
      <c r="A43" s="5" t="s">
        <v>57</v>
      </c>
      <c r="B43" s="6">
        <v>62</v>
      </c>
      <c r="C43" s="6">
        <v>24</v>
      </c>
      <c r="D43" s="6">
        <v>6</v>
      </c>
    </row>
    <row r="44" spans="1:4" x14ac:dyDescent="0.25">
      <c r="A44" s="5" t="s">
        <v>35</v>
      </c>
      <c r="B44" s="6">
        <v>18</v>
      </c>
      <c r="C44" s="6">
        <v>6</v>
      </c>
      <c r="D44" s="6">
        <v>2</v>
      </c>
    </row>
    <row r="45" spans="1:4" x14ac:dyDescent="0.25">
      <c r="A45" s="5" t="s">
        <v>29</v>
      </c>
      <c r="B45" s="6">
        <v>22</v>
      </c>
      <c r="C45" s="6">
        <v>7</v>
      </c>
      <c r="D45" s="6">
        <v>2</v>
      </c>
    </row>
    <row r="46" spans="1:4" x14ac:dyDescent="0.25">
      <c r="A46" s="5" t="s">
        <v>65</v>
      </c>
      <c r="B46" s="6">
        <v>21</v>
      </c>
      <c r="C46" s="6">
        <v>7</v>
      </c>
      <c r="D46" s="6">
        <v>2</v>
      </c>
    </row>
    <row r="47" spans="1:4" x14ac:dyDescent="0.25">
      <c r="A47" s="5" t="s">
        <v>74</v>
      </c>
      <c r="B47" s="6">
        <v>894</v>
      </c>
      <c r="C47" s="6">
        <v>315</v>
      </c>
      <c r="D47" s="6">
        <v>85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007E-8BCD-4492-BCDC-2A7206ED4C7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E7F1-92A4-468F-B531-71BC3D6F174B}">
  <dimension ref="A1:M18"/>
  <sheetViews>
    <sheetView tabSelected="1" zoomScale="130" zoomScaleNormal="130" workbookViewId="0">
      <selection activeCell="F20" sqref="F20"/>
    </sheetView>
  </sheetViews>
  <sheetFormatPr defaultRowHeight="18.75" x14ac:dyDescent="0.3"/>
  <cols>
    <col min="1" max="1" width="60.140625" style="9" customWidth="1"/>
    <col min="2" max="16384" width="9.140625" style="9"/>
  </cols>
  <sheetData>
    <row r="1" spans="1:13" s="12" customFormat="1" ht="23.25" thickBot="1" x14ac:dyDescent="0.35">
      <c r="A1" s="16" t="s">
        <v>81</v>
      </c>
    </row>
    <row r="2" spans="1:13" ht="23.25" thickTop="1" x14ac:dyDescent="0.3">
      <c r="A2" s="11"/>
      <c r="B2" s="11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8" t="s">
        <v>68</v>
      </c>
      <c r="B3" s="1">
        <f>TA_Data!L2</f>
        <v>25</v>
      </c>
      <c r="D3" s="14"/>
      <c r="E3" s="14"/>
      <c r="F3" s="14"/>
      <c r="G3" s="14"/>
    </row>
    <row r="4" spans="1:13" x14ac:dyDescent="0.3">
      <c r="A4" s="8" t="s">
        <v>71</v>
      </c>
      <c r="B4" s="1">
        <f>TA_Data!L3</f>
        <v>17</v>
      </c>
    </row>
    <row r="5" spans="1:13" x14ac:dyDescent="0.3">
      <c r="A5" s="8" t="s">
        <v>82</v>
      </c>
      <c r="B5" s="13">
        <f>TA_Data!L6</f>
        <v>40.36</v>
      </c>
    </row>
    <row r="7" spans="1:13" s="15" customFormat="1" ht="15" x14ac:dyDescent="0.25">
      <c r="A7" s="14" t="s">
        <v>83</v>
      </c>
      <c r="B7" s="14" t="s">
        <v>84</v>
      </c>
      <c r="C7" s="14"/>
      <c r="D7" s="14"/>
      <c r="H7" s="17" t="s">
        <v>85</v>
      </c>
      <c r="I7" s="1"/>
    </row>
    <row r="18" spans="1:4" s="15" customFormat="1" ht="15" x14ac:dyDescent="0.25">
      <c r="A18" s="14"/>
      <c r="B18" s="14"/>
      <c r="C18" s="14"/>
      <c r="D18" s="1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1A94-3C7D-4F48-A450-A6F90648EF92}">
  <dimension ref="I1"/>
  <sheetViews>
    <sheetView workbookViewId="0">
      <selection sqref="A1:D1"/>
    </sheetView>
  </sheetViews>
  <sheetFormatPr defaultRowHeight="15" x14ac:dyDescent="0.25"/>
  <sheetData>
    <row r="1" spans="9:9" ht="22.5" x14ac:dyDescent="0.3">
      <c r="I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TA_Data</vt:lpstr>
      <vt:lpstr>Pivot_Analysis</vt:lpstr>
      <vt:lpstr>Sheet4</vt:lpstr>
      <vt:lpstr>TA_Dashboard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Anupam Singh</cp:lastModifiedBy>
  <dcterms:created xsi:type="dcterms:W3CDTF">2026-01-20T13:19:27Z</dcterms:created>
  <dcterms:modified xsi:type="dcterms:W3CDTF">2026-01-20T14:18:03Z</dcterms:modified>
</cp:coreProperties>
</file>